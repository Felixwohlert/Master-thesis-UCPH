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Moments/"/>
    </mc:Choice>
  </mc:AlternateContent>
  <xr:revisionPtr revIDLastSave="0" documentId="13_ncr:1_{69E101C5-961E-DF49-80E2-B04A3CFC0FF0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16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13" i="1"/>
  <c r="D376" i="1"/>
  <c r="D377" i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375" i="1"/>
  <c r="J49" i="1" l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H17" i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E427" i="1"/>
  <c r="E426" i="1"/>
  <c r="E425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28" i="1"/>
  <c r="J45" i="1" l="1"/>
  <c r="J46" i="1" s="1"/>
  <c r="J47" i="1" s="1"/>
  <c r="J48" i="1" s="1"/>
</calcChain>
</file>

<file path=xl/sharedStrings.xml><?xml version="1.0" encoding="utf-8"?>
<sst xmlns="http://schemas.openxmlformats.org/spreadsheetml/2006/main" count="877" uniqueCount="877">
  <si>
    <t>ECB Data Portal</t>
  </si>
  <si>
    <t>Downloaded on: 2026-05-02 13:09:28</t>
  </si>
  <si>
    <t>TITLE</t>
  </si>
  <si>
    <t>Real Euro area 10-year Government Benchmark bond yield - Yield, average of observations through period</t>
  </si>
  <si>
    <t>SERIES KEY</t>
  </si>
  <si>
    <t>FM.M.U2.EUR.4F.BB.R_U2_10Y.YLDA</t>
  </si>
  <si>
    <t>TIME SERIES PAGE</t>
  </si>
  <si>
    <t>https://data.ecb.europa.eu/data/datasets/FM/FM.M.U2.EUR.4F.BB.R_U2_10Y.YLDA</t>
  </si>
  <si>
    <t>GEOGRAPHICAL AREA</t>
  </si>
  <si>
    <t>Euro area (changing composition) (U2)</t>
  </si>
  <si>
    <t>FREQUENCY</t>
  </si>
  <si>
    <t>Monthly</t>
  </si>
  <si>
    <t>DATASET</t>
  </si>
  <si>
    <t>FM</t>
  </si>
  <si>
    <t>DATA SOURCE</t>
  </si>
  <si>
    <t>ECB/FINANCIAL PROVIDERS</t>
  </si>
  <si>
    <t>COLLECTION TYPE</t>
  </si>
  <si>
    <t>Average of observations through period (A)</t>
  </si>
  <si>
    <t>UNIT</t>
  </si>
  <si>
    <t>Percent per annum</t>
  </si>
  <si>
    <t>LAST UPDATED</t>
  </si>
  <si>
    <t>2026-05-01 09:24:32</t>
  </si>
  <si>
    <t>DATE</t>
  </si>
  <si>
    <t>TIME PERIOD</t>
  </si>
  <si>
    <t>1991-01-31</t>
  </si>
  <si>
    <t>1991Jan</t>
  </si>
  <si>
    <t>1991-02-28</t>
  </si>
  <si>
    <t>1991Feb</t>
  </si>
  <si>
    <t>1991-03-31</t>
  </si>
  <si>
    <t>1991Mar</t>
  </si>
  <si>
    <t>1991-04-30</t>
  </si>
  <si>
    <t>1991Apr</t>
  </si>
  <si>
    <t>1991-05-31</t>
  </si>
  <si>
    <t>1991May</t>
  </si>
  <si>
    <t>1991-06-30</t>
  </si>
  <si>
    <t>1991Jun</t>
  </si>
  <si>
    <t>1991-07-31</t>
  </si>
  <si>
    <t>1991Jul</t>
  </si>
  <si>
    <t>1991-08-31</t>
  </si>
  <si>
    <t>1991Aug</t>
  </si>
  <si>
    <t>1991-09-30</t>
  </si>
  <si>
    <t>1991Sep</t>
  </si>
  <si>
    <t>1991-10-31</t>
  </si>
  <si>
    <t>1991Oct</t>
  </si>
  <si>
    <t>1991-11-30</t>
  </si>
  <si>
    <t>1991Nov</t>
  </si>
  <si>
    <t>1991-12-31</t>
  </si>
  <si>
    <t>1991Dec</t>
  </si>
  <si>
    <t>1992-01-31</t>
  </si>
  <si>
    <t>1992Jan</t>
  </si>
  <si>
    <t>1992-02-29</t>
  </si>
  <si>
    <t>1992Feb</t>
  </si>
  <si>
    <t>1992-03-31</t>
  </si>
  <si>
    <t>1992Mar</t>
  </si>
  <si>
    <t>1992-04-30</t>
  </si>
  <si>
    <t>1992Apr</t>
  </si>
  <si>
    <t>1992-05-31</t>
  </si>
  <si>
    <t>1992May</t>
  </si>
  <si>
    <t>1992-06-30</t>
  </si>
  <si>
    <t>1992Jun</t>
  </si>
  <si>
    <t>1992-07-31</t>
  </si>
  <si>
    <t>1992Jul</t>
  </si>
  <si>
    <t>1992-08-31</t>
  </si>
  <si>
    <t>1992Aug</t>
  </si>
  <si>
    <t>1992-09-30</t>
  </si>
  <si>
    <t>1992Sep</t>
  </si>
  <si>
    <t>1992-10-31</t>
  </si>
  <si>
    <t>1992Oct</t>
  </si>
  <si>
    <t>1992-11-30</t>
  </si>
  <si>
    <t>1992Nov</t>
  </si>
  <si>
    <t>1992-12-31</t>
  </si>
  <si>
    <t>1992Dec</t>
  </si>
  <si>
    <t>1993-01-31</t>
  </si>
  <si>
    <t>1993Jan</t>
  </si>
  <si>
    <t>1993-02-28</t>
  </si>
  <si>
    <t>1993Feb</t>
  </si>
  <si>
    <t>1993-03-31</t>
  </si>
  <si>
    <t>1993Mar</t>
  </si>
  <si>
    <t>1993-04-30</t>
  </si>
  <si>
    <t>1993Apr</t>
  </si>
  <si>
    <t>1993-05-31</t>
  </si>
  <si>
    <t>1993May</t>
  </si>
  <si>
    <t>1993-06-30</t>
  </si>
  <si>
    <t>1993Jun</t>
  </si>
  <si>
    <t>1993-07-31</t>
  </si>
  <si>
    <t>1993Jul</t>
  </si>
  <si>
    <t>1993-08-31</t>
  </si>
  <si>
    <t>1993Aug</t>
  </si>
  <si>
    <t>1993-09-30</t>
  </si>
  <si>
    <t>1993Sep</t>
  </si>
  <si>
    <t>1993-10-31</t>
  </si>
  <si>
    <t>1993Oct</t>
  </si>
  <si>
    <t>1993-11-30</t>
  </si>
  <si>
    <t>1993Nov</t>
  </si>
  <si>
    <t>1993-12-31</t>
  </si>
  <si>
    <t>1993Dec</t>
  </si>
  <si>
    <t>1994-01-31</t>
  </si>
  <si>
    <t>1994Jan</t>
  </si>
  <si>
    <t>1994-02-28</t>
  </si>
  <si>
    <t>1994Feb</t>
  </si>
  <si>
    <t>1994-03-31</t>
  </si>
  <si>
    <t>1994Mar</t>
  </si>
  <si>
    <t>1994-04-30</t>
  </si>
  <si>
    <t>1994Apr</t>
  </si>
  <si>
    <t>1994-05-31</t>
  </si>
  <si>
    <t>1994May</t>
  </si>
  <si>
    <t>1994-06-30</t>
  </si>
  <si>
    <t>1994Jun</t>
  </si>
  <si>
    <t>1994-07-31</t>
  </si>
  <si>
    <t>1994Jul</t>
  </si>
  <si>
    <t>1994-08-31</t>
  </si>
  <si>
    <t>1994Aug</t>
  </si>
  <si>
    <t>1994-09-30</t>
  </si>
  <si>
    <t>1994Sep</t>
  </si>
  <si>
    <t>1994-10-31</t>
  </si>
  <si>
    <t>1994Oct</t>
  </si>
  <si>
    <t>1994-11-30</t>
  </si>
  <si>
    <t>1994Nov</t>
  </si>
  <si>
    <t>1994-12-31</t>
  </si>
  <si>
    <t>1994Dec</t>
  </si>
  <si>
    <t>1995-01-31</t>
  </si>
  <si>
    <t>1995Jan</t>
  </si>
  <si>
    <t>1995-02-28</t>
  </si>
  <si>
    <t>1995Feb</t>
  </si>
  <si>
    <t>1995-03-31</t>
  </si>
  <si>
    <t>1995Mar</t>
  </si>
  <si>
    <t>1995-04-30</t>
  </si>
  <si>
    <t>1995Apr</t>
  </si>
  <si>
    <t>1995-05-31</t>
  </si>
  <si>
    <t>1995May</t>
  </si>
  <si>
    <t>1995-06-30</t>
  </si>
  <si>
    <t>1995Jun</t>
  </si>
  <si>
    <t>1995-07-31</t>
  </si>
  <si>
    <t>1995Jul</t>
  </si>
  <si>
    <t>1995-08-31</t>
  </si>
  <si>
    <t>1995Aug</t>
  </si>
  <si>
    <t>1995-09-30</t>
  </si>
  <si>
    <t>1995Sep</t>
  </si>
  <si>
    <t>1995-10-31</t>
  </si>
  <si>
    <t>1995Oct</t>
  </si>
  <si>
    <t>1995-11-30</t>
  </si>
  <si>
    <t>1995Nov</t>
  </si>
  <si>
    <t>1995-12-31</t>
  </si>
  <si>
    <t>1995Dec</t>
  </si>
  <si>
    <t>1996-01-31</t>
  </si>
  <si>
    <t>1996Jan</t>
  </si>
  <si>
    <t>1996-02-29</t>
  </si>
  <si>
    <t>1996Feb</t>
  </si>
  <si>
    <t>1996-03-31</t>
  </si>
  <si>
    <t>1996Mar</t>
  </si>
  <si>
    <t>1996-04-30</t>
  </si>
  <si>
    <t>1996Apr</t>
  </si>
  <si>
    <t>1996-05-31</t>
  </si>
  <si>
    <t>1996May</t>
  </si>
  <si>
    <t>1996-06-30</t>
  </si>
  <si>
    <t>1996Jun</t>
  </si>
  <si>
    <t>1996-07-31</t>
  </si>
  <si>
    <t>1996Jul</t>
  </si>
  <si>
    <t>1996-08-31</t>
  </si>
  <si>
    <t>1996Aug</t>
  </si>
  <si>
    <t>1996-09-30</t>
  </si>
  <si>
    <t>1996Sep</t>
  </si>
  <si>
    <t>1996-10-31</t>
  </si>
  <si>
    <t>1996Oct</t>
  </si>
  <si>
    <t>1996-11-30</t>
  </si>
  <si>
    <t>1996Nov</t>
  </si>
  <si>
    <t>1996-12-31</t>
  </si>
  <si>
    <t>1996Dec</t>
  </si>
  <si>
    <t>1997-01-31</t>
  </si>
  <si>
    <t>1997Jan</t>
  </si>
  <si>
    <t>1997-02-28</t>
  </si>
  <si>
    <t>1997Feb</t>
  </si>
  <si>
    <t>1997-03-31</t>
  </si>
  <si>
    <t>1997Mar</t>
  </si>
  <si>
    <t>1997-04-30</t>
  </si>
  <si>
    <t>1997Apr</t>
  </si>
  <si>
    <t>1997-05-31</t>
  </si>
  <si>
    <t>1997May</t>
  </si>
  <si>
    <t>1997-06-30</t>
  </si>
  <si>
    <t>1997Jun</t>
  </si>
  <si>
    <t>1997-07-31</t>
  </si>
  <si>
    <t>1997Jul</t>
  </si>
  <si>
    <t>1997-08-31</t>
  </si>
  <si>
    <t>1997Aug</t>
  </si>
  <si>
    <t>1997-09-30</t>
  </si>
  <si>
    <t>1997Sep</t>
  </si>
  <si>
    <t>1997-10-31</t>
  </si>
  <si>
    <t>1997Oct</t>
  </si>
  <si>
    <t>1997-11-30</t>
  </si>
  <si>
    <t>1997Nov</t>
  </si>
  <si>
    <t>1997-12-31</t>
  </si>
  <si>
    <t>1997Dec</t>
  </si>
  <si>
    <t>1998-01-31</t>
  </si>
  <si>
    <t>1998Jan</t>
  </si>
  <si>
    <t>1998-02-28</t>
  </si>
  <si>
    <t>1998Feb</t>
  </si>
  <si>
    <t>1998-03-31</t>
  </si>
  <si>
    <t>1998Mar</t>
  </si>
  <si>
    <t>1998-04-30</t>
  </si>
  <si>
    <t>1998Apr</t>
  </si>
  <si>
    <t>1998-05-31</t>
  </si>
  <si>
    <t>1998May</t>
  </si>
  <si>
    <t>1998-06-30</t>
  </si>
  <si>
    <t>1998Jun</t>
  </si>
  <si>
    <t>1998-07-31</t>
  </si>
  <si>
    <t>1998Jul</t>
  </si>
  <si>
    <t>1998-08-31</t>
  </si>
  <si>
    <t>1998Aug</t>
  </si>
  <si>
    <t>1998-09-30</t>
  </si>
  <si>
    <t>1998Sep</t>
  </si>
  <si>
    <t>1998-10-31</t>
  </si>
  <si>
    <t>1998Oct</t>
  </si>
  <si>
    <t>1998-11-30</t>
  </si>
  <si>
    <t>1998Nov</t>
  </si>
  <si>
    <t>1998-12-31</t>
  </si>
  <si>
    <t>1998Dec</t>
  </si>
  <si>
    <t>1999-01-31</t>
  </si>
  <si>
    <t>1999Jan</t>
  </si>
  <si>
    <t>1999-02-28</t>
  </si>
  <si>
    <t>1999Feb</t>
  </si>
  <si>
    <t>1999-03-31</t>
  </si>
  <si>
    <t>1999Mar</t>
  </si>
  <si>
    <t>1999-04-30</t>
  </si>
  <si>
    <t>1999Apr</t>
  </si>
  <si>
    <t>1999-05-31</t>
  </si>
  <si>
    <t>1999May</t>
  </si>
  <si>
    <t>1999-06-30</t>
  </si>
  <si>
    <t>1999Jun</t>
  </si>
  <si>
    <t>1999-07-31</t>
  </si>
  <si>
    <t>1999Jul</t>
  </si>
  <si>
    <t>1999-08-31</t>
  </si>
  <si>
    <t>1999Aug</t>
  </si>
  <si>
    <t>1999-09-30</t>
  </si>
  <si>
    <t>1999Sep</t>
  </si>
  <si>
    <t>1999-10-31</t>
  </si>
  <si>
    <t>1999Oct</t>
  </si>
  <si>
    <t>1999-11-30</t>
  </si>
  <si>
    <t>1999Nov</t>
  </si>
  <si>
    <t>1999-12-31</t>
  </si>
  <si>
    <t>1999Dec</t>
  </si>
  <si>
    <t>2000-01-31</t>
  </si>
  <si>
    <t>2000Jan</t>
  </si>
  <si>
    <t>2000-02-29</t>
  </si>
  <si>
    <t>2000Feb</t>
  </si>
  <si>
    <t>2000-03-31</t>
  </si>
  <si>
    <t>2000Mar</t>
  </si>
  <si>
    <t>2000-04-30</t>
  </si>
  <si>
    <t>2000Apr</t>
  </si>
  <si>
    <t>2000-05-31</t>
  </si>
  <si>
    <t>2000May</t>
  </si>
  <si>
    <t>2000-06-30</t>
  </si>
  <si>
    <t>2000Jun</t>
  </si>
  <si>
    <t>2000-07-31</t>
  </si>
  <si>
    <t>2000Jul</t>
  </si>
  <si>
    <t>2000-08-31</t>
  </si>
  <si>
    <t>2000Aug</t>
  </si>
  <si>
    <t>2000-09-30</t>
  </si>
  <si>
    <t>2000Sep</t>
  </si>
  <si>
    <t>2000-10-31</t>
  </si>
  <si>
    <t>2000Oct</t>
  </si>
  <si>
    <t>2000-11-30</t>
  </si>
  <si>
    <t>2000Nov</t>
  </si>
  <si>
    <t>2000-12-31</t>
  </si>
  <si>
    <t>2000Dec</t>
  </si>
  <si>
    <t>2001-01-31</t>
  </si>
  <si>
    <t>2001Jan</t>
  </si>
  <si>
    <t>2001-02-28</t>
  </si>
  <si>
    <t>2001Feb</t>
  </si>
  <si>
    <t>2001-03-31</t>
  </si>
  <si>
    <t>2001Mar</t>
  </si>
  <si>
    <t>2001-04-30</t>
  </si>
  <si>
    <t>2001Apr</t>
  </si>
  <si>
    <t>2001-05-31</t>
  </si>
  <si>
    <t>2001May</t>
  </si>
  <si>
    <t>2001-06-30</t>
  </si>
  <si>
    <t>2001Jun</t>
  </si>
  <si>
    <t>2001-07-31</t>
  </si>
  <si>
    <t>2001Jul</t>
  </si>
  <si>
    <t>2001-08-31</t>
  </si>
  <si>
    <t>2001Aug</t>
  </si>
  <si>
    <t>2001-09-30</t>
  </si>
  <si>
    <t>2001Sep</t>
  </si>
  <si>
    <t>2001-10-31</t>
  </si>
  <si>
    <t>2001Oct</t>
  </si>
  <si>
    <t>2001-11-30</t>
  </si>
  <si>
    <t>2001Nov</t>
  </si>
  <si>
    <t>2001-12-31</t>
  </si>
  <si>
    <t>2001Dec</t>
  </si>
  <si>
    <t>2002-01-31</t>
  </si>
  <si>
    <t>2002Jan</t>
  </si>
  <si>
    <t>2002-02-28</t>
  </si>
  <si>
    <t>2002Feb</t>
  </si>
  <si>
    <t>2002-03-31</t>
  </si>
  <si>
    <t>2002Mar</t>
  </si>
  <si>
    <t>2002-04-30</t>
  </si>
  <si>
    <t>2002Apr</t>
  </si>
  <si>
    <t>2002-05-31</t>
  </si>
  <si>
    <t>2002May</t>
  </si>
  <si>
    <t>2002-06-30</t>
  </si>
  <si>
    <t>2002Jun</t>
  </si>
  <si>
    <t>2002-07-31</t>
  </si>
  <si>
    <t>2002Jul</t>
  </si>
  <si>
    <t>2002-08-31</t>
  </si>
  <si>
    <t>2002Aug</t>
  </si>
  <si>
    <t>2002-09-30</t>
  </si>
  <si>
    <t>2002Sep</t>
  </si>
  <si>
    <t>2002-10-31</t>
  </si>
  <si>
    <t>2002Oct</t>
  </si>
  <si>
    <t>2002-11-30</t>
  </si>
  <si>
    <t>2002Nov</t>
  </si>
  <si>
    <t>2002-12-31</t>
  </si>
  <si>
    <t>2002Dec</t>
  </si>
  <si>
    <t>2003-01-31</t>
  </si>
  <si>
    <t>2003Jan</t>
  </si>
  <si>
    <t>2003-02-28</t>
  </si>
  <si>
    <t>2003Feb</t>
  </si>
  <si>
    <t>2003-03-31</t>
  </si>
  <si>
    <t>2003Mar</t>
  </si>
  <si>
    <t>2003-04-30</t>
  </si>
  <si>
    <t>2003Apr</t>
  </si>
  <si>
    <t>2003-05-31</t>
  </si>
  <si>
    <t>2003May</t>
  </si>
  <si>
    <t>2003-06-30</t>
  </si>
  <si>
    <t>2003Jun</t>
  </si>
  <si>
    <t>2003-07-31</t>
  </si>
  <si>
    <t>2003Jul</t>
  </si>
  <si>
    <t>2003-08-31</t>
  </si>
  <si>
    <t>2003Aug</t>
  </si>
  <si>
    <t>2003-09-30</t>
  </si>
  <si>
    <t>2003Sep</t>
  </si>
  <si>
    <t>2003-10-31</t>
  </si>
  <si>
    <t>2003Oct</t>
  </si>
  <si>
    <t>2003-11-30</t>
  </si>
  <si>
    <t>2003Nov</t>
  </si>
  <si>
    <t>2003-12-31</t>
  </si>
  <si>
    <t>2003Dec</t>
  </si>
  <si>
    <t>2004-01-31</t>
  </si>
  <si>
    <t>2004Jan</t>
  </si>
  <si>
    <t>2004-02-29</t>
  </si>
  <si>
    <t>2004Feb</t>
  </si>
  <si>
    <t>2004-03-31</t>
  </si>
  <si>
    <t>2004Mar</t>
  </si>
  <si>
    <t>2004-04-30</t>
  </si>
  <si>
    <t>2004Apr</t>
  </si>
  <si>
    <t>2004-05-31</t>
  </si>
  <si>
    <t>2004May</t>
  </si>
  <si>
    <t>2004-06-30</t>
  </si>
  <si>
    <t>2004Jun</t>
  </si>
  <si>
    <t>2004-07-31</t>
  </si>
  <si>
    <t>2004Jul</t>
  </si>
  <si>
    <t>2004-08-31</t>
  </si>
  <si>
    <t>2004Aug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</si>
  <si>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</si>
  <si>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</si>
  <si>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</si>
  <si>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</si>
  <si>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</si>
  <si>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</si>
  <si>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</si>
  <si>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</si>
  <si>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</si>
  <si>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</si>
  <si>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</si>
  <si>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</si>
  <si>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</si>
  <si>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</si>
  <si>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</si>
  <si>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</si>
  <si>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</si>
  <si>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</si>
  <si>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</si>
  <si>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</si>
  <si>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</si>
  <si>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</si>
  <si>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</si>
  <si>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</si>
  <si>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</si>
  <si>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</si>
  <si>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</si>
  <si>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</si>
  <si>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</si>
  <si>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</si>
  <si>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</si>
  <si>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</si>
  <si>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</si>
  <si>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</si>
  <si>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</si>
  <si>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</si>
  <si>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</si>
  <si>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</si>
  <si>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</si>
  <si>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</si>
  <si>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</si>
  <si>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</si>
  <si>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</si>
  <si>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</si>
  <si>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</si>
  <si>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</si>
  <si>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</si>
  <si>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</si>
  <si>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</si>
  <si>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</si>
  <si>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</si>
  <si>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</si>
  <si>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</si>
  <si>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</si>
  <si>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</si>
  <si>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</si>
  <si>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</si>
  <si>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</si>
  <si>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</si>
  <si>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</si>
  <si>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</si>
  <si>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</si>
  <si>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</si>
  <si>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</si>
  <si>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</si>
  <si>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</si>
  <si>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</si>
  <si>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</si>
  <si>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</si>
  <si>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</si>
  <si>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</si>
  <si>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</si>
  <si>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</si>
  <si>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</si>
  <si>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</si>
  <si>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</si>
  <si>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</si>
  <si>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</si>
  <si>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</si>
  <si>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</si>
  <si>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</si>
  <si>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</si>
  <si>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</si>
  <si>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</si>
  <si>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</si>
  <si>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</si>
  <si>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</si>
  <si>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</si>
  <si>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</si>
  <si>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</si>
  <si>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</si>
  <si>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</si>
  <si>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</si>
  <si>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</si>
  <si>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</si>
  <si>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</si>
  <si>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</si>
  <si>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</si>
  <si>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</si>
  <si>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</si>
  <si>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</si>
  <si>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</si>
  <si>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</si>
  <si>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</si>
  <si>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</si>
  <si>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</si>
  <si>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</si>
  <si>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</si>
  <si>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</si>
  <si>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</si>
  <si>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</si>
  <si>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</si>
  <si>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</si>
  <si>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</si>
  <si>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</si>
  <si>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</si>
  <si>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</si>
  <si>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</si>
  <si>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</si>
  <si>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</si>
  <si>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</si>
  <si>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</si>
  <si>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</si>
  <si>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</si>
  <si>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</si>
  <si>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</si>
  <si>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</si>
  <si>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</si>
  <si>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</si>
  <si>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</si>
  <si>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</si>
  <si>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</si>
  <si>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</si>
  <si>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</si>
  <si>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</si>
  <si>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</si>
  <si>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</si>
  <si>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</si>
  <si>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</si>
  <si>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</si>
  <si>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</si>
  <si>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</si>
  <si>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</si>
  <si>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</si>
  <si>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</si>
  <si>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</si>
  <si>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</si>
  <si>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</si>
  <si>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</si>
  <si>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</si>
  <si>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</si>
  <si>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</si>
  <si>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</si>
  <si>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</si>
  <si>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</si>
  <si>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</si>
  <si>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</si>
  <si>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</si>
  <si>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</si>
  <si>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</si>
  <si>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</si>
  <si>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</si>
  <si>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</si>
  <si>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</si>
  <si>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</si>
  <si>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</si>
  <si>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</si>
  <si>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</si>
  <si>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</si>
  <si>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</si>
  <si>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</si>
  <si>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</si>
  <si>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</si>
  <si>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</si>
  <si>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</si>
  <si>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</si>
  <si>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</si>
  <si>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</si>
  <si>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</si>
  <si>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</si>
  <si>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</si>
  <si>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</si>
  <si>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</si>
  <si>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</si>
  <si>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</si>
  <si>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</si>
  <si>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</si>
  <si>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</si>
  <si>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</si>
  <si>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</si>
  <si>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</si>
  <si>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</si>
  <si>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</si>
  <si>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</si>
  <si>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</si>
  <si>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</si>
  <si>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</si>
  <si>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</si>
  <si>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</si>
  <si>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</si>
  <si>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</si>
  <si>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</si>
  <si>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</si>
  <si>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</si>
  <si>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</si>
  <si>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</si>
  <si>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</si>
  <si>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</si>
  <si>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</si>
  <si>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</si>
  <si>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</si>
  <si>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</si>
  <si>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</si>
  <si>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</si>
  <si>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</si>
  <si>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</si>
  <si>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</si>
  <si>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</si>
  <si>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</si>
  <si>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</si>
  <si>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</si>
  <si>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</si>
  <si>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</si>
  <si>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</si>
  <si>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</si>
  <si>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</si>
  <si>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</si>
  <si>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</si>
  <si>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</si>
  <si>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</si>
  <si>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</si>
  <si>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</si>
  <si>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</si>
  <si>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</si>
  <si>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</si>
  <si>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</si>
  <si>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</si>
  <si>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</si>
  <si>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</si>
  <si>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</si>
  <si>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</si>
  <si>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</si>
  <si>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</si>
  <si>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</si>
  <si>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</si>
  <si>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</si>
  <si>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</si>
  <si>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</si>
  <si>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</si>
  <si>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</si>
  <si>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</si>
  <si>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</si>
  <si>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</si>
  <si>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</si>
  <si>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</si>
  <si>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</si>
  <si>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</si>
  <si>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</si>
  <si>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</si>
  <si>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</si>
  <si>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</si>
  <si>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</si>
  <si>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</si>
  <si>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</si>
  <si>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</si>
  <si>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</si>
  <si>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</si>
  <si>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</si>
  <si>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</si>
  <si>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</si>
  <si>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</si>
  <si>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</si>
  <si>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</si>
  <si>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</si>
  <si>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</si>
  <si>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</si>
  <si>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</si>
  <si>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</si>
  <si>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</si>
  <si>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</si>
  <si>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</si>
  <si>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</si>
  <si>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</si>
  <si>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</si>
  <si>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</si>
  <si>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</si>
  <si>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</si>
  <si>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</si>
  <si>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</si>
  <si>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</si>
  <si>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</si>
  <si>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</si>
  <si>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</si>
  <si>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</si>
  <si>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</si>
  <si>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</si>
  <si>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</si>
  <si>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</si>
  <si>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</si>
  <si>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</si>
  <si>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</si>
  <si>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</si>
  <si>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</si>
  <si>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</si>
  <si>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</si>
  <si>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</si>
  <si>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</si>
  <si>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</si>
  <si>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</si>
  <si>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</si>
  <si>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</si>
  <si>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</si>
  <si>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</si>
  <si>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</si>
  <si>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</si>
  <si>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</si>
  <si>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</si>
  <si>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</si>
  <si>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</si>
  <si>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</si>
  <si>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</si>
  <si>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</si>
  <si>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</si>
  <si>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</si>
  <si>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</si>
  <si>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</si>
  <si>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</si>
  <si>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</si>
  <si>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</si>
  <si>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</si>
  <si>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</si>
  <si>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</si>
  <si>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</si>
  <si>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</si>
  <si>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</si>
  <si>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</si>
  <si>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</si>
  <si>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</si>
  <si>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</si>
  <si>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</si>
  <si>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</si>
  <si>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</si>
  <si>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</si>
  <si>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</si>
  <si>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</si>
  <si>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</si>
  <si>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</si>
  <si>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</si>
  <si>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</si>
  <si>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</si>
  <si>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</si>
  <si>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</si>
  <si>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</si>
  <si>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</si>
  <si>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</si>
  <si>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</si>
  <si>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</si>
  <si>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</si>
  <si>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</si>
  <si>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</si>
  <si>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</si>
  <si>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</si>
  <si>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</si>
  <si>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</si>
  <si>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</si>
  <si>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</si>
  <si>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</si>
  <si>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</si>
  <si>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</si>
  <si>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</si>
  <si>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</si>
  <si>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</si>
  <si>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</si>
  <si>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</si>
  <si>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</si>
  <si>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</si>
  <si>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</si>
  <si>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</si>
  <si>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</si>
  <si>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</si>
  <si>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</si>
  <si>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</si>
  <si>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</si>
  <si>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</si>
  <si>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</si>
  <si>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</si>
  <si>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</si>
  <si>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</si>
  <si>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</si>
  <si>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</si>
  <si>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</si>
  <si>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</si>
  <si>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</si>
  <si>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</si>
  <si>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</si>
  <si>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</si>
  <si>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</si>
  <si>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</si>
  <si>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</si>
  <si>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</si>
  <si>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</si>
  <si>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</si>
  <si>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</si>
  <si>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</si>
  <si>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</si>
  <si>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</si>
  <si>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</si>
  <si>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</si>
  <si>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</si>
  <si>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</si>
  <si>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</si>
  <si>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</si>
  <si>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</si>
  <si>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</si>
  <si>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</si>
  <si>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</si>
  <si>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</si>
  <si>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</si>
  <si>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</si>
  <si>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</si>
  <si>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</si>
  <si>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</si>
  <si>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</si>
  <si>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</si>
  <si>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</si>
  <si>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</si>
  <si>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</si>
  <si>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</si>
  <si>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</si>
  <si>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</si>
  <si>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</si>
  <si>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</si>
  <si>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</si>
  <si>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</si>
  <si>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</si>
  <si>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</si>
  <si>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</si>
  <si>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</si>
  <si>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</si>
  <si>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</si>
  <si>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</si>
  <si>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</si>
  <si>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</si>
  <si>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</si>
  <si>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</si>
  <si>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</si>
  <si>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</si>
  <si>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</si>
  <si>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</si>
  <si>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</si>
  <si>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</si>
  <si>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</si>
  <si>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</si>
  <si>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</si>
  <si>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</si>
  <si>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</si>
  <si>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</si>
  <si>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</si>
  <si>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</si>
  <si>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</si>
  <si>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</si>
  <si>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</si>
  <si>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</si>
  <si>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</si>
  <si>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</si>
  <si>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</si>
  <si>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</si>
  <si>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</si>
  <si>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</si>
  <si>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</si>
  <si>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</si>
  <si>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</si>
  <si>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</si>
  <si>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</si>
  <si>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</si>
  <si>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</si>
  <si>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</si>
  <si>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</si>
  <si>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</si>
  <si>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</si>
  <si>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</si>
  <si>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</si>
  <si>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</si>
  <si>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</si>
  <si>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</si>
  <si>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</si>
  <si>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</si>
  <si>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</si>
  <si>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</si>
  <si>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</si>
  <si>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</si>
  <si>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</si>
  <si>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</si>
  <si>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</si>
  <si>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</si>
  <si>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</si>
  <si>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</si>
  <si>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</si>
  <si>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</si>
  <si>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</si>
  <si>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</si>
  <si>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</si>
  <si>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</si>
  <si>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</si>
  <si>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</si>
  <si>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</si>
  <si>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</si>
  <si>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</si>
  <si>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</si>
  <si>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</si>
  <si>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</si>
  <si>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</si>
  <si>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2026-02-28</t>
  </si>
  <si>
    <t>2026Feb</t>
  </si>
  <si>
    <t>2026-03-31</t>
  </si>
  <si>
    <t>2026Mar</t>
  </si>
  <si>
    <t>2026-04-30</t>
  </si>
  <si>
    <t>2026Apr</t>
  </si>
  <si>
    <t>24 month MA</t>
  </si>
  <si>
    <t>Yearly</t>
  </si>
  <si>
    <t xml:space="preserve">Real Euro area 10-year Government Benchmark bond yield </t>
  </si>
  <si>
    <t>Interpolated</t>
  </si>
  <si>
    <t>HP</t>
  </si>
  <si>
    <t>Real rate (Covid 19 interpolation)</t>
  </si>
  <si>
    <t>Real Euro area 10-year Government Benchmark bond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</si>
</sst>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DATA!$C$15</c:f>
              <c:strCache>
                <c:ptCount val="1"/>
                <c:pt idx="0">
                  <c:v>Real Euro area 10-year Government Benchmark bond yield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DATA!$A$16:$A$438</c:f>
              <c:strCache>
                <c:ptCount val="423"/>
                <c:pt idx="0">
                  <c:v>1991-01-31</c:v>
                </c:pt>
                <c:pt idx="1">
                  <c:v>1991-02-28</c:v>
                </c:pt>
                <c:pt idx="2">
                  <c:v>1991-03-31</c:v>
                </c:pt>
                <c:pt idx="3">
                  <c:v>1991-04-30</c:v>
                </c:pt>
                <c:pt idx="4">
                  <c:v>1991-05-31</c:v>
                </c:pt>
                <c:pt idx="5">
                  <c:v>1991-06-30</c:v>
                </c:pt>
                <c:pt idx="6">
                  <c:v>1991-07-31</c:v>
                </c:pt>
                <c:pt idx="7">
                  <c:v>1991-08-31</c:v>
                </c:pt>
                <c:pt idx="8">
                  <c:v>1991-09-30</c:v>
                </c:pt>
                <c:pt idx="9">
                  <c:v>1991-10-31</c:v>
                </c:pt>
                <c:pt idx="10">
                  <c:v>1991-11-30</c:v>
                </c:pt>
                <c:pt idx="11">
                  <c:v>1991-12-31</c:v>
                </c:pt>
                <c:pt idx="12">
                  <c:v>1992-01-31</c:v>
                </c:pt>
                <c:pt idx="13">
                  <c:v>1992-02-29</c:v>
                </c:pt>
                <c:pt idx="14">
                  <c:v>1992-03-31</c:v>
                </c:pt>
                <c:pt idx="15">
                  <c:v>1992-04-30</c:v>
                </c:pt>
                <c:pt idx="16">
                  <c:v>1992-05-31</c:v>
                </c:pt>
                <c:pt idx="17">
                  <c:v>1992-06-30</c:v>
                </c:pt>
                <c:pt idx="18">
                  <c:v>1992-07-31</c:v>
                </c:pt>
                <c:pt idx="19">
                  <c:v>1992-08-31</c:v>
                </c:pt>
                <c:pt idx="20">
                  <c:v>1992-09-30</c:v>
                </c:pt>
                <c:pt idx="21">
                  <c:v>1992-10-31</c:v>
                </c:pt>
                <c:pt idx="22">
                  <c:v>1992-11-30</c:v>
                </c:pt>
                <c:pt idx="23">
                  <c:v>1992-12-31</c:v>
                </c:pt>
                <c:pt idx="24">
                  <c:v>1993-01-31</c:v>
                </c:pt>
                <c:pt idx="25">
                  <c:v>1993-02-28</c:v>
                </c:pt>
                <c:pt idx="26">
                  <c:v>1993-03-31</c:v>
                </c:pt>
                <c:pt idx="27">
                  <c:v>1993-04-30</c:v>
                </c:pt>
                <c:pt idx="28">
                  <c:v>1993-05-31</c:v>
                </c:pt>
                <c:pt idx="29">
                  <c:v>1993-06-30</c:v>
                </c:pt>
                <c:pt idx="30">
                  <c:v>1993-07-31</c:v>
                </c:pt>
                <c:pt idx="31">
                  <c:v>1993-08-31</c:v>
                </c:pt>
                <c:pt idx="32">
                  <c:v>1993-09-30</c:v>
                </c:pt>
                <c:pt idx="33">
                  <c:v>1993-10-31</c:v>
                </c:pt>
                <c:pt idx="34">
                  <c:v>1993-11-30</c:v>
                </c:pt>
                <c:pt idx="35">
                  <c:v>1993-12-31</c:v>
                </c:pt>
                <c:pt idx="36">
                  <c:v>1994-01-31</c:v>
                </c:pt>
                <c:pt idx="37">
                  <c:v>1994-02-28</c:v>
                </c:pt>
                <c:pt idx="38">
                  <c:v>1994-03-31</c:v>
                </c:pt>
                <c:pt idx="39">
                  <c:v>1994-04-30</c:v>
                </c:pt>
                <c:pt idx="40">
                  <c:v>1994-05-31</c:v>
                </c:pt>
                <c:pt idx="41">
                  <c:v>1994-06-30</c:v>
                </c:pt>
                <c:pt idx="42">
                  <c:v>1994-07-31</c:v>
                </c:pt>
                <c:pt idx="43">
                  <c:v>1994-08-31</c:v>
                </c:pt>
                <c:pt idx="44">
                  <c:v>1994-09-30</c:v>
                </c:pt>
                <c:pt idx="45">
                  <c:v>1994-10-31</c:v>
                </c:pt>
                <c:pt idx="46">
                  <c:v>1994-11-30</c:v>
                </c:pt>
                <c:pt idx="47">
                  <c:v>1994-12-31</c:v>
                </c:pt>
                <c:pt idx="48">
                  <c:v>1995-01-31</c:v>
                </c:pt>
                <c:pt idx="49">
                  <c:v>1995-02-28</c:v>
                </c:pt>
                <c:pt idx="50">
                  <c:v>1995-03-31</c:v>
                </c:pt>
                <c:pt idx="51">
                  <c:v>1995-04-30</c:v>
                </c:pt>
                <c:pt idx="52">
                  <c:v>1995-05-31</c:v>
                </c:pt>
                <c:pt idx="53">
                  <c:v>1995-06-30</c:v>
                </c:pt>
                <c:pt idx="54">
                  <c:v>1995-07-31</c:v>
                </c:pt>
                <c:pt idx="55">
                  <c:v>1995-08-31</c:v>
                </c:pt>
                <c:pt idx="56">
                  <c:v>1995-09-30</c:v>
                </c:pt>
                <c:pt idx="57">
                  <c:v>1995-10-31</c:v>
                </c:pt>
                <c:pt idx="58">
                  <c:v>1995-11-30</c:v>
                </c:pt>
                <c:pt idx="59">
                  <c:v>1995-12-31</c:v>
                </c:pt>
                <c:pt idx="60">
                  <c:v>1996-01-31</c:v>
                </c:pt>
                <c:pt idx="61">
                  <c:v>1996-02-29</c:v>
                </c:pt>
                <c:pt idx="62">
                  <c:v>1996-03-31</c:v>
                </c:pt>
                <c:pt idx="63">
                  <c:v>1996-04-30</c:v>
                </c:pt>
                <c:pt idx="64">
                  <c:v>1996-05-31</c:v>
                </c:pt>
                <c:pt idx="65">
                  <c:v>1996-06-30</c:v>
                </c:pt>
                <c:pt idx="66">
                  <c:v>1996-07-31</c:v>
                </c:pt>
                <c:pt idx="67">
                  <c:v>1996-08-31</c:v>
                </c:pt>
                <c:pt idx="68">
                  <c:v>1996-09-30</c:v>
                </c:pt>
                <c:pt idx="69">
                  <c:v>1996-10-31</c:v>
                </c:pt>
                <c:pt idx="70">
                  <c:v>1996-11-30</c:v>
                </c:pt>
                <c:pt idx="71">
                  <c:v>1996-12-31</c:v>
                </c:pt>
                <c:pt idx="72">
                  <c:v>1997-01-31</c:v>
                </c:pt>
                <c:pt idx="73">
                  <c:v>1997-02-28</c:v>
                </c:pt>
                <c:pt idx="74">
                  <c:v>1997-03-31</c:v>
                </c:pt>
                <c:pt idx="75">
                  <c:v>1997-04-30</c:v>
                </c:pt>
                <c:pt idx="76">
                  <c:v>1997-05-31</c:v>
                </c:pt>
                <c:pt idx="77">
                  <c:v>1997-06-30</c:v>
                </c:pt>
                <c:pt idx="78">
                  <c:v>1997-07-31</c:v>
                </c:pt>
                <c:pt idx="79">
                  <c:v>1997-08-31</c:v>
                </c:pt>
                <c:pt idx="80">
                  <c:v>1997-09-30</c:v>
                </c:pt>
                <c:pt idx="81">
                  <c:v>1997-10-31</c:v>
                </c:pt>
                <c:pt idx="82">
                  <c:v>1997-11-30</c:v>
                </c:pt>
                <c:pt idx="83">
                  <c:v>1997-12-31</c:v>
                </c:pt>
                <c:pt idx="84">
                  <c:v>1998-01-31</c:v>
                </c:pt>
                <c:pt idx="85">
                  <c:v>1998-02-28</c:v>
                </c:pt>
                <c:pt idx="86">
                  <c:v>1998-03-31</c:v>
                </c:pt>
                <c:pt idx="87">
                  <c:v>1998-04-30</c:v>
                </c:pt>
                <c:pt idx="88">
                  <c:v>1998-05-31</c:v>
                </c:pt>
                <c:pt idx="89">
                  <c:v>1998-06-30</c:v>
                </c:pt>
                <c:pt idx="90">
                  <c:v>1998-07-31</c:v>
                </c:pt>
                <c:pt idx="91">
                  <c:v>1998-08-31</c:v>
                </c:pt>
                <c:pt idx="92">
                  <c:v>1998-09-30</c:v>
                </c:pt>
                <c:pt idx="93">
                  <c:v>1998-10-31</c:v>
                </c:pt>
                <c:pt idx="94">
                  <c:v>1998-11-30</c:v>
                </c:pt>
                <c:pt idx="95">
                  <c:v>1998-12-31</c:v>
                </c:pt>
                <c:pt idx="96">
                  <c:v>1999-01-31</c:v>
                </c:pt>
                <c:pt idx="97">
                  <c:v>1999-02-28</c:v>
                </c:pt>
                <c:pt idx="98">
                  <c:v>1999-03-31</c:v>
                </c:pt>
                <c:pt idx="99">
                  <c:v>1999-04-30</c:v>
                </c:pt>
                <c:pt idx="100">
                  <c:v>1999-05-31</c:v>
                </c:pt>
                <c:pt idx="101">
                  <c:v>1999-06-30</c:v>
                </c:pt>
                <c:pt idx="102">
                  <c:v>1999-07-31</c:v>
                </c:pt>
                <c:pt idx="103">
                  <c:v>1999-08-31</c:v>
                </c:pt>
                <c:pt idx="104">
                  <c:v>1999-09-30</c:v>
                </c:pt>
                <c:pt idx="105">
                  <c:v>1999-10-31</c:v>
                </c:pt>
                <c:pt idx="106">
                  <c:v>1999-11-30</c:v>
                </c:pt>
                <c:pt idx="107">
                  <c:v>1999-12-31</c:v>
                </c:pt>
                <c:pt idx="108">
                  <c:v>2000-01-31</c:v>
                </c:pt>
                <c:pt idx="109">
                  <c:v>2000-02-29</c:v>
                </c:pt>
                <c:pt idx="110">
                  <c:v>2000-03-31</c:v>
                </c:pt>
                <c:pt idx="111">
                  <c:v>2000-04-30</c:v>
                </c:pt>
                <c:pt idx="112">
                  <c:v>2000-05-31</c:v>
                </c:pt>
                <c:pt idx="113">
                  <c:v>2000-06-30</c:v>
                </c:pt>
                <c:pt idx="114">
                  <c:v>2000-07-31</c:v>
                </c:pt>
                <c:pt idx="115">
                  <c:v>2000-08-31</c:v>
                </c:pt>
                <c:pt idx="116">
                  <c:v>2000-09-30</c:v>
                </c:pt>
                <c:pt idx="117">
                  <c:v>2000-10-31</c:v>
                </c:pt>
                <c:pt idx="118">
                  <c:v>2000-11-30</c:v>
                </c:pt>
                <c:pt idx="119">
                  <c:v>2000-12-31</c:v>
                </c:pt>
                <c:pt idx="120">
                  <c:v>2001-01-31</c:v>
                </c:pt>
                <c:pt idx="121">
                  <c:v>2001-02-28</c:v>
                </c:pt>
                <c:pt idx="122">
                  <c:v>2001-03-31</c:v>
                </c:pt>
                <c:pt idx="123">
                  <c:v>2001-04-30</c:v>
                </c:pt>
                <c:pt idx="124">
                  <c:v>2001-05-31</c:v>
                </c:pt>
                <c:pt idx="125">
                  <c:v>2001-06-30</c:v>
                </c:pt>
                <c:pt idx="126">
                  <c:v>2001-07-31</c:v>
                </c:pt>
                <c:pt idx="127">
                  <c:v>2001-08-31</c:v>
                </c:pt>
                <c:pt idx="128">
                  <c:v>2001-09-30</c:v>
                </c:pt>
                <c:pt idx="129">
                  <c:v>2001-10-31</c:v>
                </c:pt>
                <c:pt idx="130">
                  <c:v>2001-11-30</c:v>
                </c:pt>
                <c:pt idx="131">
                  <c:v>2001-12-31</c:v>
                </c:pt>
                <c:pt idx="132">
                  <c:v>2002-01-31</c:v>
                </c:pt>
                <c:pt idx="133">
                  <c:v>2002-02-28</c:v>
                </c:pt>
                <c:pt idx="134">
                  <c:v>2002-03-31</c:v>
                </c:pt>
                <c:pt idx="135">
                  <c:v>2002-04-30</c:v>
                </c:pt>
                <c:pt idx="136">
                  <c:v>2002-05-31</c:v>
                </c:pt>
                <c:pt idx="137">
                  <c:v>2002-06-30</c:v>
                </c:pt>
                <c:pt idx="138">
                  <c:v>2002-07-31</c:v>
                </c:pt>
                <c:pt idx="139">
                  <c:v>2002-08-31</c:v>
                </c:pt>
                <c:pt idx="140">
                  <c:v>2002-09-30</c:v>
                </c:pt>
                <c:pt idx="141">
                  <c:v>2002-10-31</c:v>
                </c:pt>
                <c:pt idx="142">
                  <c:v>2002-11-30</c:v>
                </c:pt>
                <c:pt idx="143">
                  <c:v>2002-12-31</c:v>
                </c:pt>
                <c:pt idx="144">
                  <c:v>2003-01-31</c:v>
                </c:pt>
                <c:pt idx="145">
                  <c:v>2003-02-28</c:v>
                </c:pt>
                <c:pt idx="146">
                  <c:v>2003-03-31</c:v>
                </c:pt>
                <c:pt idx="147">
                  <c:v>2003-04-30</c:v>
                </c:pt>
                <c:pt idx="148">
                  <c:v>2003-05-31</c:v>
                </c:pt>
                <c:pt idx="149">
                  <c:v>2003-06-30</c:v>
                </c:pt>
                <c:pt idx="150">
                  <c:v>2003-07-31</c:v>
                </c:pt>
                <c:pt idx="151">
                  <c:v>2003-08-31</c:v>
                </c:pt>
                <c:pt idx="152">
                  <c:v>2003-09-30</c:v>
                </c:pt>
                <c:pt idx="153">
                  <c:v>2003-10-31</c:v>
                </c:pt>
                <c:pt idx="154">
                  <c:v>2003-11-30</c:v>
                </c:pt>
                <c:pt idx="155">
                  <c:v>2003-12-31</c:v>
                </c:pt>
                <c:pt idx="156">
                  <c:v>2004-01-31</c:v>
                </c:pt>
                <c:pt idx="157">
                  <c:v>2004-02-29</c:v>
                </c:pt>
                <c:pt idx="158">
                  <c:v>2004-03-31</c:v>
                </c:pt>
                <c:pt idx="159">
                  <c:v>2004-04-30</c:v>
                </c:pt>
                <c:pt idx="160">
                  <c:v>2004-05-31</c:v>
                </c:pt>
                <c:pt idx="161">
                  <c:v>2004-06-30</c:v>
                </c:pt>
                <c:pt idx="162">
                  <c:v>2004-07-31</c:v>
                </c:pt>
                <c:pt idx="163">
                  <c:v>2004-08-31</c:v>
                </c:pt>
                <c:pt idx="164">
                  <c:v>2004-09-30</c:v>
                </c:pt>
                <c:pt idx="165">
                  <c:v>2004-10-31</c:v>
                </c:pt>
                <c:pt idx="166">
                  <c:v>2004-11-30</c:v>
                </c:pt>
                <c:pt idx="167">
                  <c:v>2004-12-31</c:v>
                </c:pt>
                <c:pt idx="168">
                  <c:v>2005-01-31</c:v>
                </c:pt>
                <c:pt idx="169">
                  <c:v>2005-02-28</c:v>
                </c:pt>
                <c:pt idx="170">
                  <c:v>2005-03-31</c:v>
                </c:pt>
                <c:pt idx="171">
                  <c:v>2005-04-30</c:v>
                </c:pt>
                <c:pt idx="172">
                  <c:v>2005-05-31</c:v>
                </c:pt>
                <c:pt idx="173">
                  <c:v>2005-06-30</c:v>
                </c:pt>
                <c:pt idx="174">
                  <c:v>2005-07-31</c:v>
                </c:pt>
                <c:pt idx="175">
                  <c:v>2005-08-31</c:v>
                </c:pt>
                <c:pt idx="176">
                  <c:v>2005-09-30</c:v>
                </c:pt>
                <c:pt idx="177">
                  <c:v>2005-10-31</c:v>
                </c:pt>
                <c:pt idx="178">
                  <c:v>2005-11-30</c:v>
                </c:pt>
                <c:pt idx="179">
                  <c:v>2005-12-31</c:v>
                </c:pt>
                <c:pt idx="180">
                  <c:v>2006-01-31</c:v>
                </c:pt>
                <c:pt idx="181">
                  <c:v>2006-02-28</c:v>
                </c:pt>
                <c:pt idx="182">
                  <c:v>2006-03-31</c:v>
                </c:pt>
                <c:pt idx="183">
                  <c:v>2006-04-30</c:v>
                </c:pt>
                <c:pt idx="184">
                  <c:v>2006-05-31</c:v>
                </c:pt>
                <c:pt idx="185">
                  <c:v>2006-06-30</c:v>
                </c:pt>
                <c:pt idx="186">
                  <c:v>2006-07-31</c:v>
                </c:pt>
                <c:pt idx="187">
                  <c:v>2006-08-31</c:v>
                </c:pt>
                <c:pt idx="188">
                  <c:v>2006-09-30</c:v>
                </c:pt>
                <c:pt idx="189">
                  <c:v>2006-10-31</c:v>
                </c:pt>
                <c:pt idx="190">
                  <c:v>2006-11-30</c:v>
                </c:pt>
                <c:pt idx="191">
                  <c:v>2006-12-31</c:v>
                </c:pt>
                <c:pt idx="192">
                  <c:v>2007-01-31</c:v>
                </c:pt>
                <c:pt idx="193">
                  <c:v>2007-02-28</c:v>
                </c:pt>
                <c:pt idx="194">
                  <c:v>2007-03-31</c:v>
                </c:pt>
                <c:pt idx="195">
                  <c:v>2007-04-30</c:v>
                </c:pt>
                <c:pt idx="196">
                  <c:v>2007-05-31</c:v>
                </c:pt>
                <c:pt idx="197">
                  <c:v>2007-06-30</c:v>
                </c:pt>
                <c:pt idx="198">
                  <c:v>2007-07-31</c:v>
                </c:pt>
                <c:pt idx="199">
                  <c:v>2007-08-31</c:v>
                </c:pt>
                <c:pt idx="200">
                  <c:v>2007-09-30</c:v>
                </c:pt>
                <c:pt idx="201">
                  <c:v>2007-10-31</c:v>
                </c:pt>
                <c:pt idx="202">
                  <c:v>2007-11-30</c:v>
                </c:pt>
                <c:pt idx="203">
                  <c:v>2007-12-31</c:v>
                </c:pt>
                <c:pt idx="204">
                  <c:v>2008-01-31</c:v>
                </c:pt>
                <c:pt idx="205">
                  <c:v>2008-02-29</c:v>
                </c:pt>
                <c:pt idx="206">
                  <c:v>2008-03-31</c:v>
                </c:pt>
                <c:pt idx="207">
                  <c:v>2008-04-30</c:v>
                </c:pt>
                <c:pt idx="208">
                  <c:v>2008-05-31</c:v>
                </c:pt>
                <c:pt idx="209">
                  <c:v>2008-06-30</c:v>
                </c:pt>
                <c:pt idx="210">
                  <c:v>2008-07-31</c:v>
                </c:pt>
                <c:pt idx="211">
                  <c:v>2008-08-31</c:v>
                </c:pt>
                <c:pt idx="212">
                  <c:v>2008-09-30</c:v>
                </c:pt>
                <c:pt idx="213">
                  <c:v>2008-10-31</c:v>
                </c:pt>
                <c:pt idx="214">
                  <c:v>2008-11-30</c:v>
                </c:pt>
                <c:pt idx="215">
                  <c:v>2008-12-31</c:v>
                </c:pt>
                <c:pt idx="216">
                  <c:v>2009-01-31</c:v>
                </c:pt>
                <c:pt idx="217">
                  <c:v>2009-02-28</c:v>
                </c:pt>
                <c:pt idx="218">
                  <c:v>2009-03-31</c:v>
                </c:pt>
                <c:pt idx="219">
                  <c:v>2009-04-30</c:v>
                </c:pt>
                <c:pt idx="220">
                  <c:v>2009-05-31</c:v>
                </c:pt>
                <c:pt idx="221">
                  <c:v>2009-06-30</c:v>
                </c:pt>
                <c:pt idx="222">
                  <c:v>2009-07-31</c:v>
                </c:pt>
                <c:pt idx="223">
                  <c:v>2009-08-31</c:v>
                </c:pt>
                <c:pt idx="224">
                  <c:v>2009-09-30</c:v>
                </c:pt>
                <c:pt idx="225">
                  <c:v>2009-10-31</c:v>
                </c:pt>
                <c:pt idx="226">
                  <c:v>2009-11-30</c:v>
                </c:pt>
                <c:pt idx="227">
                  <c:v>2009-12-31</c:v>
                </c:pt>
                <c:pt idx="228">
                  <c:v>2010-01-31</c:v>
                </c:pt>
                <c:pt idx="229">
                  <c:v>2010-02-28</c:v>
                </c:pt>
                <c:pt idx="230">
                  <c:v>2010-03-31</c:v>
                </c:pt>
                <c:pt idx="231">
                  <c:v>2010-04-30</c:v>
                </c:pt>
                <c:pt idx="232">
                  <c:v>2010-05-31</c:v>
                </c:pt>
                <c:pt idx="233">
                  <c:v>2010-06-30</c:v>
                </c:pt>
                <c:pt idx="234">
                  <c:v>2010-07-31</c:v>
                </c:pt>
                <c:pt idx="235">
                  <c:v>2010-08-31</c:v>
                </c:pt>
                <c:pt idx="236">
                  <c:v>2010-09-30</c:v>
                </c:pt>
                <c:pt idx="237">
                  <c:v>2010-10-31</c:v>
                </c:pt>
                <c:pt idx="238">
                  <c:v>2010-11-30</c:v>
                </c:pt>
                <c:pt idx="239">
                  <c:v>2010-12-31</c:v>
                </c:pt>
                <c:pt idx="240">
                  <c:v>2011-01-31</c:v>
                </c:pt>
                <c:pt idx="241">
                  <c:v>2011-02-28</c:v>
                </c:pt>
                <c:pt idx="242">
                  <c:v>2011-03-31</c:v>
                </c:pt>
                <c:pt idx="243">
                  <c:v>2011-04-30</c:v>
                </c:pt>
                <c:pt idx="244">
                  <c:v>2011-05-31</c:v>
                </c:pt>
                <c:pt idx="245">
                  <c:v>2011-06-30</c:v>
                </c:pt>
                <c:pt idx="246">
                  <c:v>2011-07-31</c:v>
                </c:pt>
                <c:pt idx="247">
                  <c:v>2011-08-31</c:v>
                </c:pt>
                <c:pt idx="248">
                  <c:v>2011-09-30</c:v>
                </c:pt>
                <c:pt idx="249">
                  <c:v>2011-10-31</c:v>
                </c:pt>
                <c:pt idx="250">
                  <c:v>2011-11-30</c:v>
                </c:pt>
                <c:pt idx="251">
                  <c:v>2011-12-31</c:v>
                </c:pt>
                <c:pt idx="252">
                  <c:v>2012-01-31</c:v>
                </c:pt>
                <c:pt idx="253">
                  <c:v>2012-02-29</c:v>
                </c:pt>
                <c:pt idx="254">
                  <c:v>2012-03-31</c:v>
                </c:pt>
                <c:pt idx="255">
                  <c:v>2012-04-30</c:v>
                </c:pt>
                <c:pt idx="256">
                  <c:v>2012-05-31</c:v>
                </c:pt>
                <c:pt idx="257">
                  <c:v>2012-06-30</c:v>
                </c:pt>
                <c:pt idx="258">
                  <c:v>2012-07-31</c:v>
                </c:pt>
                <c:pt idx="259">
                  <c:v>2012-08-31</c:v>
                </c:pt>
                <c:pt idx="260">
                  <c:v>2012-09-30</c:v>
                </c:pt>
                <c:pt idx="261">
                  <c:v>2012-10-31</c:v>
                </c:pt>
                <c:pt idx="262">
                  <c:v>2012-11-30</c:v>
                </c:pt>
                <c:pt idx="263">
                  <c:v>2012-12-31</c:v>
                </c:pt>
                <c:pt idx="264">
                  <c:v>2013-01-31</c:v>
                </c:pt>
                <c:pt idx="265">
                  <c:v>2013-02-28</c:v>
                </c:pt>
                <c:pt idx="266">
                  <c:v>2013-03-31</c:v>
                </c:pt>
                <c:pt idx="267">
                  <c:v>2013-04-30</c:v>
                </c:pt>
                <c:pt idx="268">
                  <c:v>2013-05-31</c:v>
                </c:pt>
                <c:pt idx="269">
                  <c:v>2013-06-30</c:v>
                </c:pt>
                <c:pt idx="270">
                  <c:v>2013-07-31</c:v>
                </c:pt>
                <c:pt idx="271">
                  <c:v>2013-08-31</c:v>
                </c:pt>
                <c:pt idx="272">
                  <c:v>2013-09-30</c:v>
                </c:pt>
                <c:pt idx="273">
                  <c:v>2013-10-31</c:v>
                </c:pt>
                <c:pt idx="274">
                  <c:v>2013-11-30</c:v>
                </c:pt>
                <c:pt idx="275">
                  <c:v>2013-12-31</c:v>
                </c:pt>
                <c:pt idx="276">
                  <c:v>2014-01-31</c:v>
                </c:pt>
                <c:pt idx="277">
                  <c:v>2014-02-28</c:v>
                </c:pt>
                <c:pt idx="278">
                  <c:v>2014-03-31</c:v>
                </c:pt>
                <c:pt idx="279">
                  <c:v>2014-04-30</c:v>
                </c:pt>
                <c:pt idx="280">
                  <c:v>2014-05-31</c:v>
                </c:pt>
                <c:pt idx="281">
                  <c:v>2014-06-30</c:v>
                </c:pt>
                <c:pt idx="282">
                  <c:v>2014-07-31</c:v>
                </c:pt>
                <c:pt idx="283">
                  <c:v>2014-08-31</c:v>
                </c:pt>
                <c:pt idx="284">
                  <c:v>2014-09-30</c:v>
                </c:pt>
                <c:pt idx="285">
                  <c:v>2014-10-31</c:v>
                </c:pt>
                <c:pt idx="286">
                  <c:v>2014-11-30</c:v>
                </c:pt>
                <c:pt idx="287">
                  <c:v>2014-12-31</c:v>
                </c:pt>
                <c:pt idx="288">
                  <c:v>2015-01-31</c:v>
                </c:pt>
                <c:pt idx="289">
                  <c:v>2015-02-28</c:v>
                </c:pt>
                <c:pt idx="290">
                  <c:v>2015-03-31</c:v>
                </c:pt>
                <c:pt idx="291">
                  <c:v>2015-04-30</c:v>
                </c:pt>
                <c:pt idx="292">
                  <c:v>2015-05-31</c:v>
                </c:pt>
                <c:pt idx="293">
                  <c:v>2015-06-30</c:v>
                </c:pt>
                <c:pt idx="294">
                  <c:v>2015-07-31</c:v>
                </c:pt>
                <c:pt idx="295">
                  <c:v>2015-08-31</c:v>
                </c:pt>
                <c:pt idx="296">
                  <c:v>2015-09-30</c:v>
                </c:pt>
                <c:pt idx="297">
                  <c:v>2015-10-31</c:v>
                </c:pt>
                <c:pt idx="298">
                  <c:v>2015-11-30</c:v>
                </c:pt>
                <c:pt idx="299">
                  <c:v>2015-12-31</c:v>
                </c:pt>
                <c:pt idx="300">
                  <c:v>2016-01-31</c:v>
                </c:pt>
                <c:pt idx="301">
                  <c:v>2016-02-29</c:v>
                </c:pt>
                <c:pt idx="302">
                  <c:v>2016-03-31</c:v>
                </c:pt>
                <c:pt idx="303">
                  <c:v>2016-04-30</c:v>
                </c:pt>
                <c:pt idx="304">
                  <c:v>2016-05-31</c:v>
                </c:pt>
                <c:pt idx="305">
                  <c:v>2016-06-30</c:v>
                </c:pt>
                <c:pt idx="306">
                  <c:v>2016-07-31</c:v>
                </c:pt>
                <c:pt idx="307">
                  <c:v>2016-08-31</c:v>
                </c:pt>
                <c:pt idx="308">
                  <c:v>2016-09-30</c:v>
                </c:pt>
                <c:pt idx="309">
                  <c:v>2016-10-31</c:v>
                </c:pt>
                <c:pt idx="310">
                  <c:v>2016-11-30</c:v>
                </c:pt>
                <c:pt idx="311">
                  <c:v>2016-12-31</c:v>
                </c:pt>
                <c:pt idx="312">
                  <c:v>2017-01-31</c:v>
                </c:pt>
                <c:pt idx="313">
                  <c:v>2017-02-28</c:v>
                </c:pt>
                <c:pt idx="314">
                  <c:v>2017-03-31</c:v>
                </c:pt>
                <c:pt idx="315">
                  <c:v>2017-04-30</c:v>
                </c:pt>
                <c:pt idx="316">
                  <c:v>2017-05-31</c:v>
                </c:pt>
                <c:pt idx="317">
                  <c:v>2017-06-30</c:v>
                </c:pt>
                <c:pt idx="318">
                  <c:v>2017-07-31</c:v>
                </c:pt>
                <c:pt idx="319">
                  <c:v>2017-08-31</c:v>
                </c:pt>
                <c:pt idx="320">
                  <c:v>2017-09-30</c:v>
                </c:pt>
                <c:pt idx="321">
                  <c:v>2017-10-31</c:v>
                </c:pt>
                <c:pt idx="322">
                  <c:v>2017-11-30</c:v>
                </c:pt>
                <c:pt idx="323">
                  <c:v>2017-12-31</c:v>
                </c:pt>
                <c:pt idx="324">
                  <c:v>2018-01-31</c:v>
                </c:pt>
                <c:pt idx="325">
                  <c:v>2018-02-28</c:v>
                </c:pt>
                <c:pt idx="326">
                  <c:v>2018-03-31</c:v>
                </c:pt>
                <c:pt idx="327">
                  <c:v>2018-04-30</c:v>
                </c:pt>
                <c:pt idx="328">
                  <c:v>2018-05-31</c:v>
                </c:pt>
                <c:pt idx="329">
                  <c:v>2018-06-30</c:v>
                </c:pt>
                <c:pt idx="330">
                  <c:v>2018-07-31</c:v>
                </c:pt>
                <c:pt idx="331">
                  <c:v>2018-08-31</c:v>
                </c:pt>
                <c:pt idx="332">
                  <c:v>2018-09-30</c:v>
                </c:pt>
                <c:pt idx="333">
                  <c:v>2018-10-31</c:v>
                </c:pt>
                <c:pt idx="334">
                  <c:v>2018-11-30</c:v>
                </c:pt>
                <c:pt idx="335">
                  <c:v>2018-12-31</c:v>
                </c:pt>
                <c:pt idx="336">
                  <c:v>2019-01-31</c:v>
                </c:pt>
                <c:pt idx="337">
                  <c:v>2019-02-28</c:v>
                </c:pt>
                <c:pt idx="338">
                  <c:v>2019-03-31</c:v>
                </c:pt>
                <c:pt idx="339">
                  <c:v>2019-04-30</c:v>
                </c:pt>
                <c:pt idx="340">
                  <c:v>2019-05-31</c:v>
                </c:pt>
                <c:pt idx="341">
                  <c:v>2019-06-30</c:v>
                </c:pt>
                <c:pt idx="342">
                  <c:v>2019-07-31</c:v>
                </c:pt>
                <c:pt idx="343">
                  <c:v>2019-08-31</c:v>
                </c:pt>
                <c:pt idx="344">
                  <c:v>2019-09-30</c:v>
                </c:pt>
                <c:pt idx="345">
                  <c:v>2019-10-31</c:v>
                </c:pt>
                <c:pt idx="346">
                  <c:v>2019-11-30</c:v>
                </c:pt>
                <c:pt idx="347">
                  <c:v>2019-12-31</c:v>
                </c:pt>
                <c:pt idx="348">
                  <c:v>2020-01-31</c:v>
                </c:pt>
                <c:pt idx="349">
                  <c:v>2020-02-29</c:v>
                </c:pt>
                <c:pt idx="350">
                  <c:v>2020-03-31</c:v>
                </c:pt>
                <c:pt idx="351">
                  <c:v>2020-04-30</c:v>
                </c:pt>
                <c:pt idx="352">
                  <c:v>2020-05-31</c:v>
                </c:pt>
                <c:pt idx="353">
                  <c:v>2020-06-30</c:v>
                </c:pt>
                <c:pt idx="354">
                  <c:v>2020-07-31</c:v>
                </c:pt>
                <c:pt idx="355">
                  <c:v>2020-08-31</c:v>
                </c:pt>
                <c:pt idx="356">
                  <c:v>2020-09-30</c:v>
                </c:pt>
                <c:pt idx="357">
                  <c:v>2020-10-31</c:v>
                </c:pt>
                <c:pt idx="358">
                  <c:v>2020-11-30</c:v>
                </c:pt>
                <c:pt idx="359">
                  <c:v>2020-12-31</c:v>
                </c:pt>
                <c:pt idx="360">
                  <c:v>2021-01-31</c:v>
                </c:pt>
                <c:pt idx="361">
                  <c:v>2021-02-28</c:v>
                </c:pt>
                <c:pt idx="362">
                  <c:v>2021-03-31</c:v>
                </c:pt>
                <c:pt idx="363">
                  <c:v>2021-04-30</c:v>
                </c:pt>
                <c:pt idx="364">
                  <c:v>2021-05-31</c:v>
                </c:pt>
                <c:pt idx="365">
                  <c:v>2021-06-30</c:v>
                </c:pt>
                <c:pt idx="366">
                  <c:v>2021-07-31</c:v>
                </c:pt>
                <c:pt idx="367">
                  <c:v>2021-08-31</c:v>
                </c:pt>
                <c:pt idx="368">
                  <c:v>2021-09-30</c:v>
                </c:pt>
                <c:pt idx="369">
                  <c:v>2021-10-31</c:v>
                </c:pt>
                <c:pt idx="370">
                  <c:v>2021-11-30</c:v>
                </c:pt>
                <c:pt idx="371">
                  <c:v>2021-12-31</c:v>
                </c:pt>
                <c:pt idx="372">
                  <c:v>2022-01-31</c:v>
                </c:pt>
                <c:pt idx="373">
                  <c:v>2022-02-28</c:v>
                </c:pt>
                <c:pt idx="374">
                  <c:v>2022-03-31</c:v>
                </c:pt>
                <c:pt idx="375">
                  <c:v>2022-04-30</c:v>
                </c:pt>
                <c:pt idx="376">
                  <c:v>2022-05-31</c:v>
                </c:pt>
                <c:pt idx="377">
                  <c:v>2022-06-30</c:v>
                </c:pt>
                <c:pt idx="378">
                  <c:v>2022-07-31</c:v>
                </c:pt>
                <c:pt idx="379">
                  <c:v>2022-08-31</c:v>
                </c:pt>
                <c:pt idx="380">
                  <c:v>2022-09-30</c:v>
                </c:pt>
                <c:pt idx="381">
                  <c:v>2022-10-31</c:v>
                </c:pt>
                <c:pt idx="382">
                  <c:v>2022-11-30</c:v>
                </c:pt>
                <c:pt idx="383">
                  <c:v>2022-12-31</c:v>
                </c:pt>
                <c:pt idx="384">
                  <c:v>2023-01-31</c:v>
                </c:pt>
                <c:pt idx="385">
                  <c:v>2023-02-28</c:v>
                </c:pt>
                <c:pt idx="386">
                  <c:v>2023-03-31</c:v>
                </c:pt>
                <c:pt idx="387">
                  <c:v>2023-04-30</c:v>
                </c:pt>
                <c:pt idx="388">
                  <c:v>2023-05-31</c:v>
                </c:pt>
                <c:pt idx="389">
                  <c:v>2023-06-30</c:v>
                </c:pt>
                <c:pt idx="390">
                  <c:v>2023-07-31</c:v>
                </c:pt>
                <c:pt idx="391">
                  <c:v>2023-08-31</c:v>
                </c:pt>
                <c:pt idx="392">
                  <c:v>2023-09-30</c:v>
                </c:pt>
                <c:pt idx="393">
                  <c:v>2023-10-31</c:v>
                </c:pt>
                <c:pt idx="394">
                  <c:v>2023-11-30</c:v>
                </c:pt>
                <c:pt idx="395">
                  <c:v>2023-12-31</c:v>
                </c:pt>
                <c:pt idx="396">
                  <c:v>2024-01-31</c:v>
                </c:pt>
                <c:pt idx="397">
                  <c:v>2024-02-29</c:v>
                </c:pt>
                <c:pt idx="398">
                  <c:v>2024-03-31</c:v>
                </c:pt>
                <c:pt idx="399">
                  <c:v>2024-04-30</c:v>
                </c:pt>
                <c:pt idx="400">
                  <c:v>2024-05-31</c:v>
                </c:pt>
                <c:pt idx="401">
                  <c:v>2024-06-30</c:v>
                </c:pt>
                <c:pt idx="402">
                  <c:v>2024-07-31</c:v>
                </c:pt>
                <c:pt idx="403">
                  <c:v>2024-08-31</c:v>
                </c:pt>
                <c:pt idx="404">
                  <c:v>2024-09-30</c:v>
                </c:pt>
                <c:pt idx="405">
                  <c:v>2024-10-31</c:v>
                </c:pt>
                <c:pt idx="406">
                  <c:v>2024-11-30</c:v>
                </c:pt>
                <c:pt idx="407">
                  <c:v>2024-12-31</c:v>
                </c:pt>
                <c:pt idx="408">
                  <c:v>2025-01-31</c:v>
                </c:pt>
                <c:pt idx="409">
                  <c:v>2025-02-28</c:v>
                </c:pt>
                <c:pt idx="410">
                  <c:v>2025-03-31</c:v>
                </c:pt>
                <c:pt idx="411">
                  <c:v>2025-04-30</c:v>
                </c:pt>
                <c:pt idx="412">
                  <c:v>2025-05-31</c:v>
                </c:pt>
                <c:pt idx="413">
                  <c:v>2025-06-30</c:v>
                </c:pt>
                <c:pt idx="414">
                  <c:v>2025-07-31</c:v>
                </c:pt>
                <c:pt idx="415">
                  <c:v>2025-08-31</c:v>
                </c:pt>
                <c:pt idx="416">
                  <c:v>2025-09-30</c:v>
                </c:pt>
                <c:pt idx="417">
                  <c:v>2025-10-31</c:v>
                </c:pt>
                <c:pt idx="418">
                  <c:v>2025-11-30</c:v>
                </c:pt>
                <c:pt idx="419">
                  <c:v>2025-12-31</c:v>
                </c:pt>
                <c:pt idx="420">
                  <c:v>2026-02-28</c:v>
                </c:pt>
                <c:pt idx="421">
                  <c:v>2026-03-31</c:v>
                </c:pt>
                <c:pt idx="422">
                  <c:v>2026-04-30</c:v>
                </c:pt>
              </c:strCache>
            </c:strRef>
          </c:cat>
          <c:val>
            <c:numRef>
              <c:f>DATA!$C$16:$C$438</c:f>
              <c:numCache>
                <c:formatCode>General</c:formatCode>
                <c:ptCount val="423"/>
                <c:pt idx="0">
                  <c:v>6.9448800000000004</c:v>
                </c:pt>
                <c:pt idx="1">
                  <c:v>6.3412699999999997</c:v>
                </c:pt>
                <c:pt idx="2">
                  <c:v>6.4724599999999999</c:v>
                </c:pt>
                <c:pt idx="3">
                  <c:v>6.3173599999999999</c:v>
                </c:pt>
                <c:pt idx="4">
                  <c:v>5.8854769999999998</c:v>
                </c:pt>
                <c:pt idx="5">
                  <c:v>5.7527299999999997</c:v>
                </c:pt>
                <c:pt idx="6">
                  <c:v>5.2246100000000002</c:v>
                </c:pt>
                <c:pt idx="7">
                  <c:v>5.7016900000000001</c:v>
                </c:pt>
                <c:pt idx="8">
                  <c:v>6.1020799999999999</c:v>
                </c:pt>
                <c:pt idx="9">
                  <c:v>6.171881</c:v>
                </c:pt>
                <c:pt idx="10">
                  <c:v>5.8183199999999999</c:v>
                </c:pt>
                <c:pt idx="11">
                  <c:v>5.7923249999999999</c:v>
                </c:pt>
                <c:pt idx="12">
                  <c:v>5.7113899999999997</c:v>
                </c:pt>
                <c:pt idx="13">
                  <c:v>5.7469910000000004</c:v>
                </c:pt>
                <c:pt idx="14">
                  <c:v>5.281193</c:v>
                </c:pt>
                <c:pt idx="15">
                  <c:v>5.4231090000000002</c:v>
                </c:pt>
                <c:pt idx="16">
                  <c:v>5.5796559999999999</c:v>
                </c:pt>
                <c:pt idx="17">
                  <c:v>5.925446</c:v>
                </c:pt>
                <c:pt idx="18">
                  <c:v>6.7330899999999998</c:v>
                </c:pt>
                <c:pt idx="19">
                  <c:v>6.8013599999999999</c:v>
                </c:pt>
                <c:pt idx="20">
                  <c:v>6.7218600000000004</c:v>
                </c:pt>
                <c:pt idx="21">
                  <c:v>7.0244900000000001</c:v>
                </c:pt>
                <c:pt idx="22">
                  <c:v>6.7812999999999999</c:v>
                </c:pt>
                <c:pt idx="23">
                  <c:v>6.7328010000000003</c:v>
                </c:pt>
                <c:pt idx="24">
                  <c:v>6.3027049999999996</c:v>
                </c:pt>
                <c:pt idx="25">
                  <c:v>6.003037</c:v>
                </c:pt>
                <c:pt idx="26">
                  <c:v>5.9457820000000003</c:v>
                </c:pt>
                <c:pt idx="27">
                  <c:v>5.9558840000000002</c:v>
                </c:pt>
                <c:pt idx="28">
                  <c:v>5.9422940000000004</c:v>
                </c:pt>
                <c:pt idx="29">
                  <c:v>5.6796230000000003</c:v>
                </c:pt>
                <c:pt idx="30">
                  <c:v>5.1018280000000003</c:v>
                </c:pt>
                <c:pt idx="31">
                  <c:v>4.6197429999999997</c:v>
                </c:pt>
                <c:pt idx="32">
                  <c:v>4.3120000000000003</c:v>
                </c:pt>
                <c:pt idx="33">
                  <c:v>4.061458</c:v>
                </c:pt>
                <c:pt idx="34">
                  <c:v>4.1806359999999998</c:v>
                </c:pt>
                <c:pt idx="35">
                  <c:v>3.9852780000000001</c:v>
                </c:pt>
                <c:pt idx="36">
                  <c:v>3.79</c:v>
                </c:pt>
                <c:pt idx="37">
                  <c:v>3.98</c:v>
                </c:pt>
                <c:pt idx="38">
                  <c:v>4.55</c:v>
                </c:pt>
                <c:pt idx="39">
                  <c:v>4.76</c:v>
                </c:pt>
                <c:pt idx="40">
                  <c:v>4.95</c:v>
                </c:pt>
                <c:pt idx="41">
                  <c:v>5.67</c:v>
                </c:pt>
                <c:pt idx="42">
                  <c:v>5.79</c:v>
                </c:pt>
                <c:pt idx="43">
                  <c:v>5.98</c:v>
                </c:pt>
                <c:pt idx="44">
                  <c:v>6.42</c:v>
                </c:pt>
                <c:pt idx="45">
                  <c:v>6.56</c:v>
                </c:pt>
                <c:pt idx="46">
                  <c:v>6.62</c:v>
                </c:pt>
                <c:pt idx="47">
                  <c:v>6.54</c:v>
                </c:pt>
                <c:pt idx="48">
                  <c:v>6.94</c:v>
                </c:pt>
                <c:pt idx="49">
                  <c:v>6.79</c:v>
                </c:pt>
                <c:pt idx="50">
                  <c:v>6.93</c:v>
                </c:pt>
                <c:pt idx="51">
                  <c:v>6.66</c:v>
                </c:pt>
                <c:pt idx="52">
                  <c:v>6.38</c:v>
                </c:pt>
                <c:pt idx="53">
                  <c:v>6.15</c:v>
                </c:pt>
                <c:pt idx="54">
                  <c:v>6.31</c:v>
                </c:pt>
                <c:pt idx="55">
                  <c:v>6.17</c:v>
                </c:pt>
                <c:pt idx="56">
                  <c:v>5.96</c:v>
                </c:pt>
                <c:pt idx="57">
                  <c:v>6.08</c:v>
                </c:pt>
                <c:pt idx="58">
                  <c:v>5.76</c:v>
                </c:pt>
                <c:pt idx="59">
                  <c:v>5.42</c:v>
                </c:pt>
                <c:pt idx="60">
                  <c:v>5.04</c:v>
                </c:pt>
                <c:pt idx="61">
                  <c:v>5.26</c:v>
                </c:pt>
                <c:pt idx="62">
                  <c:v>5.43</c:v>
                </c:pt>
                <c:pt idx="63">
                  <c:v>5.22</c:v>
                </c:pt>
                <c:pt idx="64">
                  <c:v>4.9800000000000004</c:v>
                </c:pt>
                <c:pt idx="65">
                  <c:v>5.41</c:v>
                </c:pt>
                <c:pt idx="66">
                  <c:v>5.29</c:v>
                </c:pt>
                <c:pt idx="67">
                  <c:v>5.31</c:v>
                </c:pt>
                <c:pt idx="68">
                  <c:v>5.13</c:v>
                </c:pt>
                <c:pt idx="69">
                  <c:v>4.68</c:v>
                </c:pt>
                <c:pt idx="70">
                  <c:v>4.53</c:v>
                </c:pt>
                <c:pt idx="71">
                  <c:v>4.41</c:v>
                </c:pt>
                <c:pt idx="72">
                  <c:v>4.2300000000000004</c:v>
                </c:pt>
                <c:pt idx="73">
                  <c:v>4.26</c:v>
                </c:pt>
                <c:pt idx="74">
                  <c:v>4.72</c:v>
                </c:pt>
                <c:pt idx="75">
                  <c:v>5.09</c:v>
                </c:pt>
                <c:pt idx="76">
                  <c:v>4.78</c:v>
                </c:pt>
                <c:pt idx="77">
                  <c:v>4.6900000000000004</c:v>
                </c:pt>
                <c:pt idx="78">
                  <c:v>4.33</c:v>
                </c:pt>
                <c:pt idx="79">
                  <c:v>4.24</c:v>
                </c:pt>
                <c:pt idx="80">
                  <c:v>4.0599999999999996</c:v>
                </c:pt>
                <c:pt idx="81">
                  <c:v>4.25</c:v>
                </c:pt>
                <c:pt idx="82">
                  <c:v>3.99</c:v>
                </c:pt>
                <c:pt idx="83">
                  <c:v>3.96</c:v>
                </c:pt>
                <c:pt idx="84">
                  <c:v>4.12</c:v>
                </c:pt>
                <c:pt idx="85">
                  <c:v>4.0199999999999996</c:v>
                </c:pt>
                <c:pt idx="86">
                  <c:v>3.91</c:v>
                </c:pt>
                <c:pt idx="87">
                  <c:v>3.6</c:v>
                </c:pt>
                <c:pt idx="88">
                  <c:v>3.76</c:v>
                </c:pt>
                <c:pt idx="89">
                  <c:v>3.61</c:v>
                </c:pt>
                <c:pt idx="90">
                  <c:v>3.52</c:v>
                </c:pt>
                <c:pt idx="91">
                  <c:v>3.49</c:v>
                </c:pt>
                <c:pt idx="92">
                  <c:v>3.27</c:v>
                </c:pt>
                <c:pt idx="93">
                  <c:v>3.35</c:v>
                </c:pt>
                <c:pt idx="94">
                  <c:v>3.44</c:v>
                </c:pt>
                <c:pt idx="95">
                  <c:v>3.15</c:v>
                </c:pt>
                <c:pt idx="96">
                  <c:v>3.0219985999999999</c:v>
                </c:pt>
                <c:pt idx="97">
                  <c:v>3.2742401999999999</c:v>
                </c:pt>
                <c:pt idx="98">
                  <c:v>3.2809843999999999</c:v>
                </c:pt>
                <c:pt idx="99">
                  <c:v>2.9406932000000001</c:v>
                </c:pt>
                <c:pt idx="100">
                  <c:v>3.3048530999999999</c:v>
                </c:pt>
                <c:pt idx="101">
                  <c:v>3.6266514999999999</c:v>
                </c:pt>
                <c:pt idx="102">
                  <c:v>3.8561608999999999</c:v>
                </c:pt>
                <c:pt idx="103">
                  <c:v>3.9605728999999998</c:v>
                </c:pt>
                <c:pt idx="104">
                  <c:v>4.0353355000000004</c:v>
                </c:pt>
                <c:pt idx="105">
                  <c:v>4.1716357999999998</c:v>
                </c:pt>
                <c:pt idx="106">
                  <c:v>3.6842068000000001</c:v>
                </c:pt>
                <c:pt idx="107">
                  <c:v>3.6043565000000002</c:v>
                </c:pt>
                <c:pt idx="108">
                  <c:v>3.7985392</c:v>
                </c:pt>
                <c:pt idx="109">
                  <c:v>3.7635993999999999</c:v>
                </c:pt>
                <c:pt idx="110">
                  <c:v>3.4906288000000001</c:v>
                </c:pt>
                <c:pt idx="111">
                  <c:v>3.7137984999999998</c:v>
                </c:pt>
                <c:pt idx="112">
                  <c:v>3.7154975000000001</c:v>
                </c:pt>
                <c:pt idx="113">
                  <c:v>3.2453751</c:v>
                </c:pt>
                <c:pt idx="114">
                  <c:v>3.3537355</c:v>
                </c:pt>
                <c:pt idx="115">
                  <c:v>3.3981781999999998</c:v>
                </c:pt>
                <c:pt idx="116">
                  <c:v>3.0671846999999999</c:v>
                </c:pt>
                <c:pt idx="117">
                  <c:v>3.0162589999999998</c:v>
                </c:pt>
                <c:pt idx="118">
                  <c:v>2.8357014</c:v>
                </c:pt>
                <c:pt idx="119">
                  <c:v>2.5680265000000002</c:v>
                </c:pt>
                <c:pt idx="120">
                  <c:v>3.0082062000000001</c:v>
                </c:pt>
                <c:pt idx="121">
                  <c:v>3.0210686</c:v>
                </c:pt>
                <c:pt idx="122">
                  <c:v>2.7381224</c:v>
                </c:pt>
                <c:pt idx="123">
                  <c:v>2.4013779</c:v>
                </c:pt>
                <c:pt idx="124">
                  <c:v>2.1625182000000001</c:v>
                </c:pt>
                <c:pt idx="125">
                  <c:v>2.3082877000000002</c:v>
                </c:pt>
                <c:pt idx="126">
                  <c:v>2.7500249000000001</c:v>
                </c:pt>
                <c:pt idx="127">
                  <c:v>2.7582135999999999</c:v>
                </c:pt>
                <c:pt idx="128">
                  <c:v>2.8374285000000001</c:v>
                </c:pt>
                <c:pt idx="129">
                  <c:v>2.6168694000000001</c:v>
                </c:pt>
                <c:pt idx="130">
                  <c:v>2.6666604999999999</c:v>
                </c:pt>
                <c:pt idx="131">
                  <c:v>2.8587674000000001</c:v>
                </c:pt>
                <c:pt idx="132">
                  <c:v>2.4228877999999998</c:v>
                </c:pt>
                <c:pt idx="133">
                  <c:v>2.5661149999999999</c:v>
                </c:pt>
                <c:pt idx="134">
                  <c:v>2.8164609999999999</c:v>
                </c:pt>
                <c:pt idx="135">
                  <c:v>2.8972424999999999</c:v>
                </c:pt>
                <c:pt idx="136">
                  <c:v>3.2031432999999998</c:v>
                </c:pt>
                <c:pt idx="137">
                  <c:v>3.2648676000000001</c:v>
                </c:pt>
                <c:pt idx="138">
                  <c:v>3.0274076000000001</c:v>
                </c:pt>
                <c:pt idx="139">
                  <c:v>2.6310544999999999</c:v>
                </c:pt>
                <c:pt idx="140">
                  <c:v>2.4232901999999998</c:v>
                </c:pt>
                <c:pt idx="141">
                  <c:v>2.3234653000000001</c:v>
                </c:pt>
                <c:pt idx="142">
                  <c:v>2.2923678000000001</c:v>
                </c:pt>
                <c:pt idx="143">
                  <c:v>2.1064959999999999</c:v>
                </c:pt>
                <c:pt idx="144">
                  <c:v>2.1703242</c:v>
                </c:pt>
                <c:pt idx="145">
                  <c:v>1.6607911</c:v>
                </c:pt>
                <c:pt idx="146">
                  <c:v>1.7271641</c:v>
                </c:pt>
                <c:pt idx="147">
                  <c:v>2.1288635999999999</c:v>
                </c:pt>
                <c:pt idx="148">
                  <c:v>2.1187084999999999</c:v>
                </c:pt>
                <c:pt idx="149">
                  <c:v>1.7233099000000001</c:v>
                </c:pt>
                <c:pt idx="150">
                  <c:v>2.1626238</c:v>
                </c:pt>
                <c:pt idx="151">
                  <c:v>2.2046960000000002</c:v>
                </c:pt>
                <c:pt idx="152">
                  <c:v>2.1318514</c:v>
                </c:pt>
                <c:pt idx="153">
                  <c:v>2.3080683</c:v>
                </c:pt>
                <c:pt idx="154">
                  <c:v>2.2378369</c:v>
                </c:pt>
                <c:pt idx="155">
                  <c:v>2.3560048</c:v>
                </c:pt>
                <c:pt idx="156">
                  <c:v>2.4567033</c:v>
                </c:pt>
                <c:pt idx="157">
                  <c:v>2.5832801000000001</c:v>
                </c:pt>
                <c:pt idx="158">
                  <c:v>2.3194105999999999</c:v>
                </c:pt>
                <c:pt idx="159">
                  <c:v>2.1424262999999999</c:v>
                </c:pt>
                <c:pt idx="160">
                  <c:v>1.8862071</c:v>
                </c:pt>
                <c:pt idx="161">
                  <c:v>2.0426014000000001</c:v>
                </c:pt>
                <c:pt idx="162">
                  <c:v>2.0395705</c:v>
                </c:pt>
                <c:pt idx="163">
                  <c:v>1.7678858</c:v>
                </c:pt>
                <c:pt idx="164">
                  <c:v>2.0139713000000001</c:v>
                </c:pt>
                <c:pt idx="165">
                  <c:v>1.5794187</c:v>
                </c:pt>
                <c:pt idx="166">
                  <c:v>1.6686874</c:v>
                </c:pt>
                <c:pt idx="167">
                  <c:v>1.3893466999999999</c:v>
                </c:pt>
                <c:pt idx="168">
                  <c:v>1.7336001000000001</c:v>
                </c:pt>
                <c:pt idx="169">
                  <c:v>1.5152794999999999</c:v>
                </c:pt>
                <c:pt idx="170">
                  <c:v>1.5624571</c:v>
                </c:pt>
                <c:pt idx="171">
                  <c:v>1.470942</c:v>
                </c:pt>
                <c:pt idx="172">
                  <c:v>1.4074312</c:v>
                </c:pt>
                <c:pt idx="173">
                  <c:v>1.2541142000000001</c:v>
                </c:pt>
                <c:pt idx="174">
                  <c:v>1.2159930000000001</c:v>
                </c:pt>
                <c:pt idx="175">
                  <c:v>1.1155436000000001</c:v>
                </c:pt>
                <c:pt idx="176">
                  <c:v>0.55553770000000002</c:v>
                </c:pt>
                <c:pt idx="177">
                  <c:v>0.82335999999999998</c:v>
                </c:pt>
                <c:pt idx="178">
                  <c:v>1.2272544999999999</c:v>
                </c:pt>
                <c:pt idx="179">
                  <c:v>1.1089819000000001</c:v>
                </c:pt>
                <c:pt idx="180">
                  <c:v>0.99270139999999996</c:v>
                </c:pt>
                <c:pt idx="181">
                  <c:v>1.1510043999999999</c:v>
                </c:pt>
                <c:pt idx="182">
                  <c:v>1.5311823</c:v>
                </c:pt>
                <c:pt idx="183">
                  <c:v>1.6116374</c:v>
                </c:pt>
                <c:pt idx="184">
                  <c:v>1.5602954</c:v>
                </c:pt>
                <c:pt idx="185">
                  <c:v>1.5750885999999999</c:v>
                </c:pt>
                <c:pt idx="186">
                  <c:v>1.6962879</c:v>
                </c:pt>
                <c:pt idx="187">
                  <c:v>1.6681832999999999</c:v>
                </c:pt>
                <c:pt idx="188">
                  <c:v>2.0398483000000001</c:v>
                </c:pt>
                <c:pt idx="189">
                  <c:v>2.2812863999999999</c:v>
                </c:pt>
                <c:pt idx="190">
                  <c:v>2.0040629000000001</c:v>
                </c:pt>
                <c:pt idx="191">
                  <c:v>2.0026031</c:v>
                </c:pt>
                <c:pt idx="192">
                  <c:v>2.3028095</c:v>
                </c:pt>
                <c:pt idx="193">
                  <c:v>2.3175186000000001</c:v>
                </c:pt>
                <c:pt idx="194">
                  <c:v>2.1227168999999999</c:v>
                </c:pt>
                <c:pt idx="195">
                  <c:v>2.3458817000000001</c:v>
                </c:pt>
                <c:pt idx="196">
                  <c:v>2.473096</c:v>
                </c:pt>
                <c:pt idx="197">
                  <c:v>2.7607553</c:v>
                </c:pt>
                <c:pt idx="198">
                  <c:v>2.8284248999999999</c:v>
                </c:pt>
                <c:pt idx="199">
                  <c:v>2.7263128000000001</c:v>
                </c:pt>
                <c:pt idx="200">
                  <c:v>2.2694046999999999</c:v>
                </c:pt>
                <c:pt idx="201">
                  <c:v>1.9002148999999999</c:v>
                </c:pt>
                <c:pt idx="202">
                  <c:v>1.1515404</c:v>
                </c:pt>
                <c:pt idx="203">
                  <c:v>1.2817619</c:v>
                </c:pt>
                <c:pt idx="204">
                  <c:v>1.0317453000000001</c:v>
                </c:pt>
                <c:pt idx="205">
                  <c:v>0.83937099999999998</c:v>
                </c:pt>
                <c:pt idx="206">
                  <c:v>0.47051219999999999</c:v>
                </c:pt>
                <c:pt idx="207">
                  <c:v>0.98274649999999997</c:v>
                </c:pt>
                <c:pt idx="208">
                  <c:v>0.72327079999999999</c:v>
                </c:pt>
                <c:pt idx="209">
                  <c:v>0.9092517</c:v>
                </c:pt>
                <c:pt idx="210">
                  <c:v>0.71450919999999996</c:v>
                </c:pt>
                <c:pt idx="211">
                  <c:v>0.69604299999999997</c:v>
                </c:pt>
                <c:pt idx="212">
                  <c:v>0.90429839999999995</c:v>
                </c:pt>
                <c:pt idx="213">
                  <c:v>1.2158255</c:v>
                </c:pt>
                <c:pt idx="214">
                  <c:v>2.0964263000000001</c:v>
                </c:pt>
                <c:pt idx="215">
                  <c:v>2.2881412999999999</c:v>
                </c:pt>
                <c:pt idx="216">
                  <c:v>2.999895</c:v>
                </c:pt>
                <c:pt idx="217">
                  <c:v>2.9964883000000002</c:v>
                </c:pt>
                <c:pt idx="218">
                  <c:v>3.5419714</c:v>
                </c:pt>
                <c:pt idx="219">
                  <c:v>3.4893432</c:v>
                </c:pt>
                <c:pt idx="220">
                  <c:v>4.1331359000000001</c:v>
                </c:pt>
                <c:pt idx="221">
                  <c:v>4.4249540999999999</c:v>
                </c:pt>
                <c:pt idx="222">
                  <c:v>4.6886773000000002</c:v>
                </c:pt>
                <c:pt idx="223">
                  <c:v>4.0914922999999996</c:v>
                </c:pt>
                <c:pt idx="224">
                  <c:v>4.1669805999999996</c:v>
                </c:pt>
                <c:pt idx="225">
                  <c:v>3.9038636000000002</c:v>
                </c:pt>
                <c:pt idx="226">
                  <c:v>3.3349723</c:v>
                </c:pt>
                <c:pt idx="227">
                  <c:v>2.9716228999999998</c:v>
                </c:pt>
                <c:pt idx="228">
                  <c:v>3.20167</c:v>
                </c:pt>
                <c:pt idx="229">
                  <c:v>3.3059943999999999</c:v>
                </c:pt>
                <c:pt idx="230">
                  <c:v>2.3866654</c:v>
                </c:pt>
                <c:pt idx="231">
                  <c:v>2.5670592000000001</c:v>
                </c:pt>
                <c:pt idx="232">
                  <c:v>1.9841736999999999</c:v>
                </c:pt>
                <c:pt idx="233">
                  <c:v>2.189829</c:v>
                </c:pt>
                <c:pt idx="234">
                  <c:v>1.9103851000000001</c:v>
                </c:pt>
                <c:pt idx="235">
                  <c:v>1.8378817999999999</c:v>
                </c:pt>
                <c:pt idx="236">
                  <c:v>1.5921167000000001</c:v>
                </c:pt>
                <c:pt idx="237">
                  <c:v>1.4293244000000001</c:v>
                </c:pt>
                <c:pt idx="238">
                  <c:v>1.8182547</c:v>
                </c:pt>
                <c:pt idx="239">
                  <c:v>1.8534993</c:v>
                </c:pt>
                <c:pt idx="240">
                  <c:v>1.6326299</c:v>
                </c:pt>
                <c:pt idx="241">
                  <c:v>2.0747876000000001</c:v>
                </c:pt>
                <c:pt idx="242">
                  <c:v>1.7879346</c:v>
                </c:pt>
                <c:pt idx="243">
                  <c:v>1.8604114</c:v>
                </c:pt>
                <c:pt idx="244">
                  <c:v>1.6674793000000001</c:v>
                </c:pt>
                <c:pt idx="245">
                  <c:v>1.6743838</c:v>
                </c:pt>
                <c:pt idx="246">
                  <c:v>1.9966834</c:v>
                </c:pt>
                <c:pt idx="247">
                  <c:v>1.7044927999999999</c:v>
                </c:pt>
                <c:pt idx="248">
                  <c:v>1.0344971000000001</c:v>
                </c:pt>
                <c:pt idx="249">
                  <c:v>1.0777591</c:v>
                </c:pt>
                <c:pt idx="250">
                  <c:v>1.3917473</c:v>
                </c:pt>
                <c:pt idx="251">
                  <c:v>1.2926229</c:v>
                </c:pt>
                <c:pt idx="252">
                  <c:v>1.2043381</c:v>
                </c:pt>
                <c:pt idx="253">
                  <c:v>1.0440872999999999</c:v>
                </c:pt>
                <c:pt idx="254">
                  <c:v>0.58276479999999997</c:v>
                </c:pt>
                <c:pt idx="255">
                  <c:v>0.7818773</c:v>
                </c:pt>
                <c:pt idx="256">
                  <c:v>1.1255447000000001</c:v>
                </c:pt>
                <c:pt idx="257">
                  <c:v>1.0059941999999999</c:v>
                </c:pt>
                <c:pt idx="258">
                  <c:v>0.84899460000000004</c:v>
                </c:pt>
                <c:pt idx="259">
                  <c:v>0.40803600000000001</c:v>
                </c:pt>
                <c:pt idx="260">
                  <c:v>-0.1813266</c:v>
                </c:pt>
                <c:pt idx="261">
                  <c:v>-0.19421820000000001</c:v>
                </c:pt>
                <c:pt idx="262">
                  <c:v>4.6651199999999997E-2</c:v>
                </c:pt>
                <c:pt idx="263">
                  <c:v>-0.1009326</c:v>
                </c:pt>
                <c:pt idx="264">
                  <c:v>0.39421810000000002</c:v>
                </c:pt>
                <c:pt idx="265">
                  <c:v>0.95792330000000003</c:v>
                </c:pt>
                <c:pt idx="266">
                  <c:v>1.3268070999999999</c:v>
                </c:pt>
                <c:pt idx="267">
                  <c:v>1.655735</c:v>
                </c:pt>
                <c:pt idx="268">
                  <c:v>1.2845614999999999</c:v>
                </c:pt>
                <c:pt idx="269">
                  <c:v>1.4696381000000001</c:v>
                </c:pt>
                <c:pt idx="270">
                  <c:v>1.5014137999999999</c:v>
                </c:pt>
                <c:pt idx="271">
                  <c:v>1.7968390000000001</c:v>
                </c:pt>
                <c:pt idx="272">
                  <c:v>2.3070925999999998</c:v>
                </c:pt>
                <c:pt idx="273">
                  <c:v>2.4629837000000001</c:v>
                </c:pt>
                <c:pt idx="274">
                  <c:v>2.2711819000000002</c:v>
                </c:pt>
                <c:pt idx="275">
                  <c:v>2.5129166999999999</c:v>
                </c:pt>
                <c:pt idx="276">
                  <c:v>2.4117343999999998</c:v>
                </c:pt>
                <c:pt idx="277">
                  <c:v>2.3887577000000002</c:v>
                </c:pt>
                <c:pt idx="278">
                  <c:v>2.3861058000000002</c:v>
                </c:pt>
                <c:pt idx="279">
                  <c:v>1.9100201000000001</c:v>
                </c:pt>
                <c:pt idx="280">
                  <c:v>2.0548774999999999</c:v>
                </c:pt>
                <c:pt idx="281">
                  <c:v>1.7750933</c:v>
                </c:pt>
                <c:pt idx="282">
                  <c:v>1.7569547000000001</c:v>
                </c:pt>
                <c:pt idx="283">
                  <c:v>1.5907639</c:v>
                </c:pt>
                <c:pt idx="284">
                  <c:v>1.5492648</c:v>
                </c:pt>
                <c:pt idx="285">
                  <c:v>1.2893828000000001</c:v>
                </c:pt>
                <c:pt idx="286">
                  <c:v>1.3167656999999999</c:v>
                </c:pt>
                <c:pt idx="287">
                  <c:v>1.6464759</c:v>
                </c:pt>
                <c:pt idx="288">
                  <c:v>1.865715</c:v>
                </c:pt>
                <c:pt idx="289">
                  <c:v>1.50888</c:v>
                </c:pt>
                <c:pt idx="290">
                  <c:v>1.0505888000000001</c:v>
                </c:pt>
                <c:pt idx="291">
                  <c:v>0.64981409999999995</c:v>
                </c:pt>
                <c:pt idx="292">
                  <c:v>0.73011269999999995</c:v>
                </c:pt>
                <c:pt idx="293">
                  <c:v>1.1594546999999999</c:v>
                </c:pt>
                <c:pt idx="294">
                  <c:v>1.0296605999999999</c:v>
                </c:pt>
                <c:pt idx="295">
                  <c:v>0.98766699999999996</c:v>
                </c:pt>
                <c:pt idx="296">
                  <c:v>1.2798981</c:v>
                </c:pt>
                <c:pt idx="297">
                  <c:v>0.80240140000000004</c:v>
                </c:pt>
                <c:pt idx="298">
                  <c:v>1.0537192</c:v>
                </c:pt>
                <c:pt idx="299">
                  <c:v>0.8917891</c:v>
                </c:pt>
                <c:pt idx="300">
                  <c:v>0.81450060000000002</c:v>
                </c:pt>
                <c:pt idx="301">
                  <c:v>1.141831</c:v>
                </c:pt>
                <c:pt idx="302">
                  <c:v>0.9306953</c:v>
                </c:pt>
                <c:pt idx="303">
                  <c:v>1.2601519000000001</c:v>
                </c:pt>
                <c:pt idx="304">
                  <c:v>1.0723313999999999</c:v>
                </c:pt>
                <c:pt idx="305">
                  <c:v>0.88297820000000005</c:v>
                </c:pt>
                <c:pt idx="306">
                  <c:v>0.42108820000000002</c:v>
                </c:pt>
                <c:pt idx="307">
                  <c:v>0.41115089999999999</c:v>
                </c:pt>
                <c:pt idx="308">
                  <c:v>0.33254250000000002</c:v>
                </c:pt>
                <c:pt idx="309">
                  <c:v>0.26641779999999998</c:v>
                </c:pt>
                <c:pt idx="310">
                  <c:v>0.62588779999999999</c:v>
                </c:pt>
                <c:pt idx="311">
                  <c:v>0.18320929999999999</c:v>
                </c:pt>
                <c:pt idx="312">
                  <c:v>-0.39261299999999999</c:v>
                </c:pt>
                <c:pt idx="313">
                  <c:v>-0.56285870000000005</c:v>
                </c:pt>
                <c:pt idx="314">
                  <c:v>-4.6863299999999997E-2</c:v>
                </c:pt>
                <c:pt idx="315">
                  <c:v>-0.63742500000000002</c:v>
                </c:pt>
                <c:pt idx="316">
                  <c:v>-0.22762840000000001</c:v>
                </c:pt>
                <c:pt idx="317">
                  <c:v>-0.2278897</c:v>
                </c:pt>
                <c:pt idx="318">
                  <c:v>-9.3529899999999999E-2</c:v>
                </c:pt>
                <c:pt idx="319">
                  <c:v>-0.45546829999999999</c:v>
                </c:pt>
                <c:pt idx="320">
                  <c:v>-0.48407889999999998</c:v>
                </c:pt>
                <c:pt idx="321">
                  <c:v>-0.25059579999999998</c:v>
                </c:pt>
                <c:pt idx="322">
                  <c:v>-0.55126839999999999</c:v>
                </c:pt>
                <c:pt idx="323">
                  <c:v>-0.42097370000000001</c:v>
                </c:pt>
                <c:pt idx="324">
                  <c:v>-0.26907029999999998</c:v>
                </c:pt>
                <c:pt idx="325">
                  <c:v>0.16966339999999999</c:v>
                </c:pt>
                <c:pt idx="326">
                  <c:v>-0.23160230000000001</c:v>
                </c:pt>
                <c:pt idx="327">
                  <c:v>-7.4468199999999998E-2</c:v>
                </c:pt>
                <c:pt idx="328">
                  <c:v>-0.76378460000000004</c:v>
                </c:pt>
                <c:pt idx="329">
                  <c:v>-0.71266940000000001</c:v>
                </c:pt>
                <c:pt idx="330">
                  <c:v>-1.0041169000000001</c:v>
                </c:pt>
                <c:pt idx="331">
                  <c:v>-0.73421159999999996</c:v>
                </c:pt>
                <c:pt idx="332">
                  <c:v>-0.78083849999999999</c:v>
                </c:pt>
                <c:pt idx="333">
                  <c:v>-0.74600569999999999</c:v>
                </c:pt>
                <c:pt idx="334">
                  <c:v>-0.4948205</c:v>
                </c:pt>
                <c:pt idx="335">
                  <c:v>-0.28944110000000001</c:v>
                </c:pt>
                <c:pt idx="336">
                  <c:v>-0.19757930000000001</c:v>
                </c:pt>
                <c:pt idx="337">
                  <c:v>-0.38000089999999997</c:v>
                </c:pt>
                <c:pt idx="338">
                  <c:v>-0.40802729999999998</c:v>
                </c:pt>
                <c:pt idx="339">
                  <c:v>-0.7479616</c:v>
                </c:pt>
                <c:pt idx="340">
                  <c:v>-0.32851580000000002</c:v>
                </c:pt>
                <c:pt idx="341">
                  <c:v>-0.72602429999999996</c:v>
                </c:pt>
                <c:pt idx="342">
                  <c:v>-0.64241320000000002</c:v>
                </c:pt>
                <c:pt idx="343">
                  <c:v>-0.90049670000000004</c:v>
                </c:pt>
                <c:pt idx="344">
                  <c:v>-0.75247710000000001</c:v>
                </c:pt>
                <c:pt idx="345">
                  <c:v>-0.56843220000000005</c:v>
                </c:pt>
                <c:pt idx="346">
                  <c:v>-0.69873240000000003</c:v>
                </c:pt>
                <c:pt idx="347">
                  <c:v>-0.93396349999999995</c:v>
                </c:pt>
                <c:pt idx="348">
                  <c:v>-1.0841324999999999</c:v>
                </c:pt>
                <c:pt idx="349">
                  <c:v>-1.0677372999999999</c:v>
                </c:pt>
                <c:pt idx="350">
                  <c:v>-0.32736569999999998</c:v>
                </c:pt>
                <c:pt idx="351">
                  <c:v>0.2537761</c:v>
                </c:pt>
                <c:pt idx="352">
                  <c:v>0.37913570000000002</c:v>
                </c:pt>
                <c:pt idx="353">
                  <c:v>5.1459299999999999E-2</c:v>
                </c:pt>
                <c:pt idx="354">
                  <c:v>-0.17911469999999999</c:v>
                </c:pt>
                <c:pt idx="355">
                  <c:v>0.360072</c:v>
                </c:pt>
                <c:pt idx="356">
                  <c:v>0.4234637</c:v>
                </c:pt>
                <c:pt idx="357">
                  <c:v>0.30036059999999998</c:v>
                </c:pt>
                <c:pt idx="358">
                  <c:v>0.2449577</c:v>
                </c:pt>
                <c:pt idx="359">
                  <c:v>0.2081182</c:v>
                </c:pt>
                <c:pt idx="360">
                  <c:v>-0.96375679999999997</c:v>
                </c:pt>
                <c:pt idx="361">
                  <c:v>-0.83679060000000005</c:v>
                </c:pt>
                <c:pt idx="362">
                  <c:v>-1.1521437999999999</c:v>
                </c:pt>
                <c:pt idx="363">
                  <c:v>-1.3950807999999999</c:v>
                </c:pt>
                <c:pt idx="364">
                  <c:v>-1.622849</c:v>
                </c:pt>
                <c:pt idx="365">
                  <c:v>-1.5960266999999999</c:v>
                </c:pt>
                <c:pt idx="366">
                  <c:v>-2.0366355</c:v>
                </c:pt>
                <c:pt idx="367">
                  <c:v>-2.9405306000000002</c:v>
                </c:pt>
                <c:pt idx="368">
                  <c:v>-3.2029188</c:v>
                </c:pt>
                <c:pt idx="369">
                  <c:v>-3.7475021000000002</c:v>
                </c:pt>
                <c:pt idx="370">
                  <c:v>-4.5877938</c:v>
                </c:pt>
                <c:pt idx="371">
                  <c:v>-4.7215680000000004</c:v>
                </c:pt>
                <c:pt idx="372">
                  <c:v>-4.5654569</c:v>
                </c:pt>
                <c:pt idx="373">
                  <c:v>-4.9558619999999998</c:v>
                </c:pt>
                <c:pt idx="374">
                  <c:v>-6.3465134000000001</c:v>
                </c:pt>
                <c:pt idx="375">
                  <c:v>-5.8321233000000001</c:v>
                </c:pt>
                <c:pt idx="376">
                  <c:v>-6.2258693000000003</c:v>
                </c:pt>
                <c:pt idx="377">
                  <c:v>-6.1612559999999998</c:v>
                </c:pt>
                <c:pt idx="378">
                  <c:v>-6.8070446000000002</c:v>
                </c:pt>
                <c:pt idx="379">
                  <c:v>-7.0434453000000001</c:v>
                </c:pt>
                <c:pt idx="380">
                  <c:v>-7.0861986999999997</c:v>
                </c:pt>
                <c:pt idx="381">
                  <c:v>-7.4158429999999997</c:v>
                </c:pt>
                <c:pt idx="382">
                  <c:v>-7.1625483000000001</c:v>
                </c:pt>
                <c:pt idx="383">
                  <c:v>-6.2004396000000002</c:v>
                </c:pt>
                <c:pt idx="384">
                  <c:v>-5.5559254999999999</c:v>
                </c:pt>
                <c:pt idx="385">
                  <c:v>-5.2789568999999998</c:v>
                </c:pt>
                <c:pt idx="386">
                  <c:v>-3.6668685999999999</c:v>
                </c:pt>
                <c:pt idx="387">
                  <c:v>-3.8068518999999998</c:v>
                </c:pt>
                <c:pt idx="388">
                  <c:v>-2.8946874</c:v>
                </c:pt>
                <c:pt idx="389">
                  <c:v>-2.3357847999999999</c:v>
                </c:pt>
                <c:pt idx="390">
                  <c:v>-2.0311024999999998</c:v>
                </c:pt>
                <c:pt idx="391">
                  <c:v>-1.8575602</c:v>
                </c:pt>
                <c:pt idx="392">
                  <c:v>-0.79568890000000003</c:v>
                </c:pt>
                <c:pt idx="393">
                  <c:v>0.82206840000000003</c:v>
                </c:pt>
                <c:pt idx="394">
                  <c:v>1.0186883</c:v>
                </c:pt>
                <c:pt idx="395">
                  <c:v>-3.5725E-2</c:v>
                </c:pt>
                <c:pt idx="396">
                  <c:v>0.1044165</c:v>
                </c:pt>
                <c:pt idx="397">
                  <c:v>0.42538500000000001</c:v>
                </c:pt>
                <c:pt idx="398">
                  <c:v>0.55329790000000001</c:v>
                </c:pt>
                <c:pt idx="399">
                  <c:v>0.67356099999999997</c:v>
                </c:pt>
                <c:pt idx="400">
                  <c:v>0.52149199999999996</c:v>
                </c:pt>
                <c:pt idx="401">
                  <c:v>0.66502019999999995</c:v>
                </c:pt>
                <c:pt idx="402">
                  <c:v>0.51299629999999996</c:v>
                </c:pt>
                <c:pt idx="403">
                  <c:v>0.70591250000000005</c:v>
                </c:pt>
                <c:pt idx="404">
                  <c:v>1.1341649</c:v>
                </c:pt>
                <c:pt idx="405">
                  <c:v>0.86593399999999998</c:v>
                </c:pt>
                <c:pt idx="406">
                  <c:v>0.72913150000000004</c:v>
                </c:pt>
                <c:pt idx="407">
                  <c:v>0.41234300000000002</c:v>
                </c:pt>
                <c:pt idx="408">
                  <c:v>0.58795600000000003</c:v>
                </c:pt>
                <c:pt idx="409">
                  <c:v>0.6886544</c:v>
                </c:pt>
                <c:pt idx="410">
                  <c:v>1.1137724</c:v>
                </c:pt>
                <c:pt idx="411">
                  <c:v>0.89722069999999998</c:v>
                </c:pt>
                <c:pt idx="412">
                  <c:v>1.1709947000000001</c:v>
                </c:pt>
                <c:pt idx="413">
                  <c:v>1.0847608</c:v>
                </c:pt>
                <c:pt idx="414">
                  <c:v>1.1735631</c:v>
                </c:pt>
                <c:pt idx="415">
                  <c:v>1.2050460999999999</c:v>
                </c:pt>
                <c:pt idx="416">
                  <c:v>1.0330462</c:v>
                </c:pt>
                <c:pt idx="417">
                  <c:v>1.02407</c:v>
                </c:pt>
                <c:pt idx="418">
                  <c:v>1.0362800000000001</c:v>
                </c:pt>
                <c:pt idx="419">
                  <c:v>1.34473</c:v>
                </c:pt>
                <c:pt idx="420">
                  <c:v>1.22885</c:v>
                </c:pt>
                <c:pt idx="421">
                  <c:v>0.78571000000000002</c:v>
                </c:pt>
                <c:pt idx="422">
                  <c:v>0.46344000000000002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26-B64F-B748-C467466B17FB}"/>
            </c:ext>
          </c:extLst>
        </c:ser>
        <c:ser>
          <c:idx val="1"/>
          <c:order val="1"/>
          <c:tx>
            <c:strRef>
              <c:f>DATA!$D$15</c:f>
              <c:strCache>
                <c:ptCount val="1"/>
                <c:pt idx="0">
                  <c:v>Real rate (Covid 19 interpolation)</c:v>
                </c:pt>
              </c:strCache>
            </c:strRef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DATA!$A$16:$A$438</c:f>
              <c:strCache>
                <c:ptCount val="423"/>
                <c:pt idx="0">
                  <c:v>1991-01-31</c:v>
                </c:pt>
                <c:pt idx="1">
                  <c:v>1991-02-28</c:v>
                </c:pt>
                <c:pt idx="2">
                  <c:v>1991-03-31</c:v>
                </c:pt>
                <c:pt idx="3">
                  <c:v>1991-04-30</c:v>
                </c:pt>
                <c:pt idx="4">
                  <c:v>1991-05-31</c:v>
                </c:pt>
                <c:pt idx="5">
                  <c:v>1991-06-30</c:v>
                </c:pt>
                <c:pt idx="6">
                  <c:v>1991-07-31</c:v>
                </c:pt>
                <c:pt idx="7">
                  <c:v>1991-08-31</c:v>
                </c:pt>
                <c:pt idx="8">
                  <c:v>1991-09-30</c:v>
                </c:pt>
                <c:pt idx="9">
                  <c:v>1991-10-31</c:v>
                </c:pt>
                <c:pt idx="10">
                  <c:v>1991-11-30</c:v>
                </c:pt>
                <c:pt idx="11">
                  <c:v>1991-12-31</c:v>
                </c:pt>
                <c:pt idx="12">
                  <c:v>1992-01-31</c:v>
                </c:pt>
                <c:pt idx="13">
                  <c:v>1992-02-29</c:v>
                </c:pt>
                <c:pt idx="14">
                  <c:v>1992-03-31</c:v>
                </c:pt>
                <c:pt idx="15">
                  <c:v>1992-04-30</c:v>
                </c:pt>
                <c:pt idx="16">
                  <c:v>1992-05-31</c:v>
                </c:pt>
                <c:pt idx="17">
                  <c:v>1992-06-30</c:v>
                </c:pt>
                <c:pt idx="18">
                  <c:v>1992-07-31</c:v>
                </c:pt>
                <c:pt idx="19">
                  <c:v>1992-08-31</c:v>
                </c:pt>
                <c:pt idx="20">
                  <c:v>1992-09-30</c:v>
                </c:pt>
                <c:pt idx="21">
                  <c:v>1992-10-31</c:v>
                </c:pt>
                <c:pt idx="22">
                  <c:v>1992-11-30</c:v>
                </c:pt>
                <c:pt idx="23">
                  <c:v>1992-12-31</c:v>
                </c:pt>
                <c:pt idx="24">
                  <c:v>1993-01-31</c:v>
                </c:pt>
                <c:pt idx="25">
                  <c:v>1993-02-28</c:v>
                </c:pt>
                <c:pt idx="26">
                  <c:v>1993-03-31</c:v>
                </c:pt>
                <c:pt idx="27">
                  <c:v>1993-04-30</c:v>
                </c:pt>
                <c:pt idx="28">
                  <c:v>1993-05-31</c:v>
                </c:pt>
                <c:pt idx="29">
                  <c:v>1993-06-30</c:v>
                </c:pt>
                <c:pt idx="30">
                  <c:v>1993-07-31</c:v>
                </c:pt>
                <c:pt idx="31">
                  <c:v>1993-08-31</c:v>
                </c:pt>
                <c:pt idx="32">
                  <c:v>1993-09-30</c:v>
                </c:pt>
                <c:pt idx="33">
                  <c:v>1993-10-31</c:v>
                </c:pt>
                <c:pt idx="34">
                  <c:v>1993-11-30</c:v>
                </c:pt>
                <c:pt idx="35">
                  <c:v>1993-12-31</c:v>
                </c:pt>
                <c:pt idx="36">
                  <c:v>1994-01-31</c:v>
                </c:pt>
                <c:pt idx="37">
                  <c:v>1994-02-28</c:v>
                </c:pt>
                <c:pt idx="38">
                  <c:v>1994-03-31</c:v>
                </c:pt>
                <c:pt idx="39">
                  <c:v>1994-04-30</c:v>
                </c:pt>
                <c:pt idx="40">
                  <c:v>1994-05-31</c:v>
                </c:pt>
                <c:pt idx="41">
                  <c:v>1994-06-30</c:v>
                </c:pt>
                <c:pt idx="42">
                  <c:v>1994-07-31</c:v>
                </c:pt>
                <c:pt idx="43">
                  <c:v>1994-08-31</c:v>
                </c:pt>
                <c:pt idx="44">
                  <c:v>1994-09-30</c:v>
                </c:pt>
                <c:pt idx="45">
                  <c:v>1994-10-31</c:v>
                </c:pt>
                <c:pt idx="46">
                  <c:v>1994-11-30</c:v>
                </c:pt>
                <c:pt idx="47">
                  <c:v>1994-12-31</c:v>
                </c:pt>
                <c:pt idx="48">
                  <c:v>1995-01-31</c:v>
                </c:pt>
                <c:pt idx="49">
                  <c:v>1995-02-28</c:v>
                </c:pt>
                <c:pt idx="50">
                  <c:v>1995-03-31</c:v>
                </c:pt>
                <c:pt idx="51">
                  <c:v>1995-04-30</c:v>
                </c:pt>
                <c:pt idx="52">
                  <c:v>1995-05-31</c:v>
                </c:pt>
                <c:pt idx="53">
                  <c:v>1995-06-30</c:v>
                </c:pt>
                <c:pt idx="54">
                  <c:v>1995-07-31</c:v>
                </c:pt>
                <c:pt idx="55">
                  <c:v>1995-08-31</c:v>
                </c:pt>
                <c:pt idx="56">
                  <c:v>1995-09-30</c:v>
                </c:pt>
                <c:pt idx="57">
                  <c:v>1995-10-31</c:v>
                </c:pt>
                <c:pt idx="58">
                  <c:v>1995-11-30</c:v>
                </c:pt>
                <c:pt idx="59">
                  <c:v>1995-12-31</c:v>
                </c:pt>
                <c:pt idx="60">
                  <c:v>1996-01-31</c:v>
                </c:pt>
                <c:pt idx="61">
                  <c:v>1996-02-29</c:v>
                </c:pt>
                <c:pt idx="62">
                  <c:v>1996-03-31</c:v>
                </c:pt>
                <c:pt idx="63">
                  <c:v>1996-04-30</c:v>
                </c:pt>
                <c:pt idx="64">
                  <c:v>1996-05-31</c:v>
                </c:pt>
                <c:pt idx="65">
                  <c:v>1996-06-30</c:v>
                </c:pt>
                <c:pt idx="66">
                  <c:v>1996-07-31</c:v>
                </c:pt>
                <c:pt idx="67">
                  <c:v>1996-08-31</c:v>
                </c:pt>
                <c:pt idx="68">
                  <c:v>1996-09-30</c:v>
                </c:pt>
                <c:pt idx="69">
                  <c:v>1996-10-31</c:v>
                </c:pt>
                <c:pt idx="70">
                  <c:v>1996-11-30</c:v>
                </c:pt>
                <c:pt idx="71">
                  <c:v>1996-12-31</c:v>
                </c:pt>
                <c:pt idx="72">
                  <c:v>1997-01-31</c:v>
                </c:pt>
                <c:pt idx="73">
                  <c:v>1997-02-28</c:v>
                </c:pt>
                <c:pt idx="74">
                  <c:v>1997-03-31</c:v>
                </c:pt>
                <c:pt idx="75">
                  <c:v>1997-04-30</c:v>
                </c:pt>
                <c:pt idx="76">
                  <c:v>1997-05-31</c:v>
                </c:pt>
                <c:pt idx="77">
                  <c:v>1997-06-30</c:v>
                </c:pt>
                <c:pt idx="78">
                  <c:v>1997-07-31</c:v>
                </c:pt>
                <c:pt idx="79">
                  <c:v>1997-08-31</c:v>
                </c:pt>
                <c:pt idx="80">
                  <c:v>1997-09-30</c:v>
                </c:pt>
                <c:pt idx="81">
                  <c:v>1997-10-31</c:v>
                </c:pt>
                <c:pt idx="82">
                  <c:v>1997-11-30</c:v>
                </c:pt>
                <c:pt idx="83">
                  <c:v>1997-12-31</c:v>
                </c:pt>
                <c:pt idx="84">
                  <c:v>1998-01-31</c:v>
                </c:pt>
                <c:pt idx="85">
                  <c:v>1998-02-28</c:v>
                </c:pt>
                <c:pt idx="86">
                  <c:v>1998-03-31</c:v>
                </c:pt>
                <c:pt idx="87">
                  <c:v>1998-04-30</c:v>
                </c:pt>
                <c:pt idx="88">
                  <c:v>1998-05-31</c:v>
                </c:pt>
                <c:pt idx="89">
                  <c:v>1998-06-30</c:v>
                </c:pt>
                <c:pt idx="90">
                  <c:v>1998-07-31</c:v>
                </c:pt>
                <c:pt idx="91">
                  <c:v>1998-08-31</c:v>
                </c:pt>
                <c:pt idx="92">
                  <c:v>1998-09-30</c:v>
                </c:pt>
                <c:pt idx="93">
                  <c:v>1998-10-31</c:v>
                </c:pt>
                <c:pt idx="94">
                  <c:v>1998-11-30</c:v>
                </c:pt>
                <c:pt idx="95">
                  <c:v>1998-12-31</c:v>
                </c:pt>
                <c:pt idx="96">
                  <c:v>1999-01-31</c:v>
                </c:pt>
                <c:pt idx="97">
                  <c:v>1999-02-28</c:v>
                </c:pt>
                <c:pt idx="98">
                  <c:v>1999-03-31</c:v>
                </c:pt>
                <c:pt idx="99">
                  <c:v>1999-04-30</c:v>
                </c:pt>
                <c:pt idx="100">
                  <c:v>1999-05-31</c:v>
                </c:pt>
                <c:pt idx="101">
                  <c:v>1999-06-30</c:v>
                </c:pt>
                <c:pt idx="102">
                  <c:v>1999-07-31</c:v>
                </c:pt>
                <c:pt idx="103">
                  <c:v>1999-08-31</c:v>
                </c:pt>
                <c:pt idx="104">
                  <c:v>1999-09-30</c:v>
                </c:pt>
                <c:pt idx="105">
                  <c:v>1999-10-31</c:v>
                </c:pt>
                <c:pt idx="106">
                  <c:v>1999-11-30</c:v>
                </c:pt>
                <c:pt idx="107">
                  <c:v>1999-12-31</c:v>
                </c:pt>
                <c:pt idx="108">
                  <c:v>2000-01-31</c:v>
                </c:pt>
                <c:pt idx="109">
                  <c:v>2000-02-29</c:v>
                </c:pt>
                <c:pt idx="110">
                  <c:v>2000-03-31</c:v>
                </c:pt>
                <c:pt idx="111">
                  <c:v>2000-04-30</c:v>
                </c:pt>
                <c:pt idx="112">
                  <c:v>2000-05-31</c:v>
                </c:pt>
                <c:pt idx="113">
                  <c:v>2000-06-30</c:v>
                </c:pt>
                <c:pt idx="114">
                  <c:v>2000-07-31</c:v>
                </c:pt>
                <c:pt idx="115">
                  <c:v>2000-08-31</c:v>
                </c:pt>
                <c:pt idx="116">
                  <c:v>2000-09-30</c:v>
                </c:pt>
                <c:pt idx="117">
                  <c:v>2000-10-31</c:v>
                </c:pt>
                <c:pt idx="118">
                  <c:v>2000-11-30</c:v>
                </c:pt>
                <c:pt idx="119">
                  <c:v>2000-12-31</c:v>
                </c:pt>
                <c:pt idx="120">
                  <c:v>2001-01-31</c:v>
                </c:pt>
                <c:pt idx="121">
                  <c:v>2001-02-28</c:v>
                </c:pt>
                <c:pt idx="122">
                  <c:v>2001-03-31</c:v>
                </c:pt>
                <c:pt idx="123">
                  <c:v>2001-04-30</c:v>
                </c:pt>
                <c:pt idx="124">
                  <c:v>2001-05-31</c:v>
                </c:pt>
                <c:pt idx="125">
                  <c:v>2001-06-30</c:v>
                </c:pt>
                <c:pt idx="126">
                  <c:v>2001-07-31</c:v>
                </c:pt>
                <c:pt idx="127">
                  <c:v>2001-08-31</c:v>
                </c:pt>
                <c:pt idx="128">
                  <c:v>2001-09-30</c:v>
                </c:pt>
                <c:pt idx="129">
                  <c:v>2001-10-31</c:v>
                </c:pt>
                <c:pt idx="130">
                  <c:v>2001-11-30</c:v>
                </c:pt>
                <c:pt idx="131">
                  <c:v>2001-12-31</c:v>
                </c:pt>
                <c:pt idx="132">
                  <c:v>2002-01-31</c:v>
                </c:pt>
                <c:pt idx="133">
                  <c:v>2002-02-28</c:v>
                </c:pt>
                <c:pt idx="134">
                  <c:v>2002-03-31</c:v>
                </c:pt>
                <c:pt idx="135">
                  <c:v>2002-04-30</c:v>
                </c:pt>
                <c:pt idx="136">
                  <c:v>2002-05-31</c:v>
                </c:pt>
                <c:pt idx="137">
                  <c:v>2002-06-30</c:v>
                </c:pt>
                <c:pt idx="138">
                  <c:v>2002-07-31</c:v>
                </c:pt>
                <c:pt idx="139">
                  <c:v>2002-08-31</c:v>
                </c:pt>
                <c:pt idx="140">
                  <c:v>2002-09-30</c:v>
                </c:pt>
                <c:pt idx="141">
                  <c:v>2002-10-31</c:v>
                </c:pt>
                <c:pt idx="142">
                  <c:v>2002-11-30</c:v>
                </c:pt>
                <c:pt idx="143">
                  <c:v>2002-12-31</c:v>
                </c:pt>
                <c:pt idx="144">
                  <c:v>2003-01-31</c:v>
                </c:pt>
                <c:pt idx="145">
                  <c:v>2003-02-28</c:v>
                </c:pt>
                <c:pt idx="146">
                  <c:v>2003-03-31</c:v>
                </c:pt>
                <c:pt idx="147">
                  <c:v>2003-04-30</c:v>
                </c:pt>
                <c:pt idx="148">
                  <c:v>2003-05-31</c:v>
                </c:pt>
                <c:pt idx="149">
                  <c:v>2003-06-30</c:v>
                </c:pt>
                <c:pt idx="150">
                  <c:v>2003-07-31</c:v>
                </c:pt>
                <c:pt idx="151">
                  <c:v>2003-08-31</c:v>
                </c:pt>
                <c:pt idx="152">
                  <c:v>2003-09-30</c:v>
                </c:pt>
                <c:pt idx="153">
                  <c:v>2003-10-31</c:v>
                </c:pt>
                <c:pt idx="154">
                  <c:v>2003-11-30</c:v>
                </c:pt>
                <c:pt idx="155">
                  <c:v>2003-12-31</c:v>
                </c:pt>
                <c:pt idx="156">
                  <c:v>2004-01-31</c:v>
                </c:pt>
                <c:pt idx="157">
                  <c:v>2004-02-29</c:v>
                </c:pt>
                <c:pt idx="158">
                  <c:v>2004-03-31</c:v>
                </c:pt>
                <c:pt idx="159">
                  <c:v>2004-04-30</c:v>
                </c:pt>
                <c:pt idx="160">
                  <c:v>2004-05-31</c:v>
                </c:pt>
                <c:pt idx="161">
                  <c:v>2004-06-30</c:v>
                </c:pt>
                <c:pt idx="162">
                  <c:v>2004-07-31</c:v>
                </c:pt>
                <c:pt idx="163">
                  <c:v>2004-08-31</c:v>
                </c:pt>
                <c:pt idx="164">
                  <c:v>2004-09-30</c:v>
                </c:pt>
                <c:pt idx="165">
                  <c:v>2004-10-31</c:v>
                </c:pt>
                <c:pt idx="166">
                  <c:v>2004-11-30</c:v>
                </c:pt>
                <c:pt idx="167">
                  <c:v>2004-12-31</c:v>
                </c:pt>
                <c:pt idx="168">
                  <c:v>2005-01-31</c:v>
                </c:pt>
                <c:pt idx="169">
                  <c:v>2005-02-28</c:v>
                </c:pt>
                <c:pt idx="170">
                  <c:v>2005-03-31</c:v>
                </c:pt>
                <c:pt idx="171">
                  <c:v>2005-04-30</c:v>
                </c:pt>
                <c:pt idx="172">
                  <c:v>2005-05-31</c:v>
                </c:pt>
                <c:pt idx="173">
                  <c:v>2005-06-30</c:v>
                </c:pt>
                <c:pt idx="174">
                  <c:v>2005-07-31</c:v>
                </c:pt>
                <c:pt idx="175">
                  <c:v>2005-08-31</c:v>
                </c:pt>
                <c:pt idx="176">
                  <c:v>2005-09-30</c:v>
                </c:pt>
                <c:pt idx="177">
                  <c:v>2005-10-31</c:v>
                </c:pt>
                <c:pt idx="178">
                  <c:v>2005-11-30</c:v>
                </c:pt>
                <c:pt idx="179">
                  <c:v>2005-12-31</c:v>
                </c:pt>
                <c:pt idx="180">
                  <c:v>2006-01-31</c:v>
                </c:pt>
                <c:pt idx="181">
                  <c:v>2006-02-28</c:v>
                </c:pt>
                <c:pt idx="182">
                  <c:v>2006-03-31</c:v>
                </c:pt>
                <c:pt idx="183">
                  <c:v>2006-04-30</c:v>
                </c:pt>
                <c:pt idx="184">
                  <c:v>2006-05-31</c:v>
                </c:pt>
                <c:pt idx="185">
                  <c:v>2006-06-30</c:v>
                </c:pt>
                <c:pt idx="186">
                  <c:v>2006-07-31</c:v>
                </c:pt>
                <c:pt idx="187">
                  <c:v>2006-08-31</c:v>
                </c:pt>
                <c:pt idx="188">
                  <c:v>2006-09-30</c:v>
                </c:pt>
                <c:pt idx="189">
                  <c:v>2006-10-31</c:v>
                </c:pt>
                <c:pt idx="190">
                  <c:v>2006-11-30</c:v>
                </c:pt>
                <c:pt idx="191">
                  <c:v>2006-12-31</c:v>
                </c:pt>
                <c:pt idx="192">
                  <c:v>2007-01-31</c:v>
                </c:pt>
                <c:pt idx="193">
                  <c:v>2007-02-28</c:v>
                </c:pt>
                <c:pt idx="194">
                  <c:v>2007-03-31</c:v>
                </c:pt>
                <c:pt idx="195">
                  <c:v>2007-04-30</c:v>
                </c:pt>
                <c:pt idx="196">
                  <c:v>2007-05-31</c:v>
                </c:pt>
                <c:pt idx="197">
                  <c:v>2007-06-30</c:v>
                </c:pt>
                <c:pt idx="198">
                  <c:v>2007-07-31</c:v>
                </c:pt>
                <c:pt idx="199">
                  <c:v>2007-08-31</c:v>
                </c:pt>
                <c:pt idx="200">
                  <c:v>2007-09-30</c:v>
                </c:pt>
                <c:pt idx="201">
                  <c:v>2007-10-31</c:v>
                </c:pt>
                <c:pt idx="202">
                  <c:v>2007-11-30</c:v>
                </c:pt>
                <c:pt idx="203">
                  <c:v>2007-12-31</c:v>
                </c:pt>
                <c:pt idx="204">
                  <c:v>2008-01-31</c:v>
                </c:pt>
                <c:pt idx="205">
                  <c:v>2008-02-29</c:v>
                </c:pt>
                <c:pt idx="206">
                  <c:v>2008-03-31</c:v>
                </c:pt>
                <c:pt idx="207">
                  <c:v>2008-04-30</c:v>
                </c:pt>
                <c:pt idx="208">
                  <c:v>2008-05-31</c:v>
                </c:pt>
                <c:pt idx="209">
                  <c:v>2008-06-30</c:v>
                </c:pt>
                <c:pt idx="210">
                  <c:v>2008-07-31</c:v>
                </c:pt>
                <c:pt idx="211">
                  <c:v>2008-08-31</c:v>
                </c:pt>
                <c:pt idx="212">
                  <c:v>2008-09-30</c:v>
                </c:pt>
                <c:pt idx="213">
                  <c:v>2008-10-31</c:v>
                </c:pt>
                <c:pt idx="214">
                  <c:v>2008-11-30</c:v>
                </c:pt>
                <c:pt idx="215">
                  <c:v>2008-12-31</c:v>
                </c:pt>
                <c:pt idx="216">
                  <c:v>2009-01-31</c:v>
                </c:pt>
                <c:pt idx="217">
                  <c:v>2009-02-28</c:v>
                </c:pt>
                <c:pt idx="218">
                  <c:v>2009-03-31</c:v>
                </c:pt>
                <c:pt idx="219">
                  <c:v>2009-04-30</c:v>
                </c:pt>
                <c:pt idx="220">
                  <c:v>2009-05-31</c:v>
                </c:pt>
                <c:pt idx="221">
                  <c:v>2009-06-30</c:v>
                </c:pt>
                <c:pt idx="222">
                  <c:v>2009-07-31</c:v>
                </c:pt>
                <c:pt idx="223">
                  <c:v>2009-08-31</c:v>
                </c:pt>
                <c:pt idx="224">
                  <c:v>2009-09-30</c:v>
                </c:pt>
                <c:pt idx="225">
                  <c:v>2009-10-31</c:v>
                </c:pt>
                <c:pt idx="226">
                  <c:v>2009-11-30</c:v>
                </c:pt>
                <c:pt idx="227">
                  <c:v>2009-12-31</c:v>
                </c:pt>
                <c:pt idx="228">
                  <c:v>2010-01-31</c:v>
                </c:pt>
                <c:pt idx="229">
                  <c:v>2010-02-28</c:v>
                </c:pt>
                <c:pt idx="230">
                  <c:v>2010-03-31</c:v>
                </c:pt>
                <c:pt idx="231">
                  <c:v>2010-04-30</c:v>
                </c:pt>
                <c:pt idx="232">
                  <c:v>2010-05-31</c:v>
                </c:pt>
                <c:pt idx="233">
                  <c:v>2010-06-30</c:v>
                </c:pt>
                <c:pt idx="234">
                  <c:v>2010-07-31</c:v>
                </c:pt>
                <c:pt idx="235">
                  <c:v>2010-08-31</c:v>
                </c:pt>
                <c:pt idx="236">
                  <c:v>2010-09-30</c:v>
                </c:pt>
                <c:pt idx="237">
                  <c:v>2010-10-31</c:v>
                </c:pt>
                <c:pt idx="238">
                  <c:v>2010-11-30</c:v>
                </c:pt>
                <c:pt idx="239">
                  <c:v>2010-12-31</c:v>
                </c:pt>
                <c:pt idx="240">
                  <c:v>2011-01-31</c:v>
                </c:pt>
                <c:pt idx="241">
                  <c:v>2011-02-28</c:v>
                </c:pt>
                <c:pt idx="242">
                  <c:v>2011-03-31</c:v>
                </c:pt>
                <c:pt idx="243">
                  <c:v>2011-04-30</c:v>
                </c:pt>
                <c:pt idx="244">
                  <c:v>2011-05-31</c:v>
                </c:pt>
                <c:pt idx="245">
                  <c:v>2011-06-30</c:v>
                </c:pt>
                <c:pt idx="246">
                  <c:v>2011-07-31</c:v>
                </c:pt>
                <c:pt idx="247">
                  <c:v>2011-08-31</c:v>
                </c:pt>
                <c:pt idx="248">
                  <c:v>2011-09-30</c:v>
                </c:pt>
                <c:pt idx="249">
                  <c:v>2011-10-31</c:v>
                </c:pt>
                <c:pt idx="250">
                  <c:v>2011-11-30</c:v>
                </c:pt>
                <c:pt idx="251">
                  <c:v>2011-12-31</c:v>
                </c:pt>
                <c:pt idx="252">
                  <c:v>2012-01-31</c:v>
                </c:pt>
                <c:pt idx="253">
                  <c:v>2012-02-29</c:v>
                </c:pt>
                <c:pt idx="254">
                  <c:v>2012-03-31</c:v>
                </c:pt>
                <c:pt idx="255">
                  <c:v>2012-04-30</c:v>
                </c:pt>
                <c:pt idx="256">
                  <c:v>2012-05-31</c:v>
                </c:pt>
                <c:pt idx="257">
                  <c:v>2012-06-30</c:v>
                </c:pt>
                <c:pt idx="258">
                  <c:v>2012-07-31</c:v>
                </c:pt>
                <c:pt idx="259">
                  <c:v>2012-08-31</c:v>
                </c:pt>
                <c:pt idx="260">
                  <c:v>2012-09-30</c:v>
                </c:pt>
                <c:pt idx="261">
                  <c:v>2012-10-31</c:v>
                </c:pt>
                <c:pt idx="262">
                  <c:v>2012-11-30</c:v>
                </c:pt>
                <c:pt idx="263">
                  <c:v>2012-12-31</c:v>
                </c:pt>
                <c:pt idx="264">
                  <c:v>2013-01-31</c:v>
                </c:pt>
                <c:pt idx="265">
                  <c:v>2013-02-28</c:v>
                </c:pt>
                <c:pt idx="266">
                  <c:v>2013-03-31</c:v>
                </c:pt>
                <c:pt idx="267">
                  <c:v>2013-04-30</c:v>
                </c:pt>
                <c:pt idx="268">
                  <c:v>2013-05-31</c:v>
                </c:pt>
                <c:pt idx="269">
                  <c:v>2013-06-30</c:v>
                </c:pt>
                <c:pt idx="270">
                  <c:v>2013-07-31</c:v>
                </c:pt>
                <c:pt idx="271">
                  <c:v>2013-08-31</c:v>
                </c:pt>
                <c:pt idx="272">
                  <c:v>2013-09-30</c:v>
                </c:pt>
                <c:pt idx="273">
                  <c:v>2013-10-31</c:v>
                </c:pt>
                <c:pt idx="274">
                  <c:v>2013-11-30</c:v>
                </c:pt>
                <c:pt idx="275">
                  <c:v>2013-12-31</c:v>
                </c:pt>
                <c:pt idx="276">
                  <c:v>2014-01-31</c:v>
                </c:pt>
                <c:pt idx="277">
                  <c:v>2014-02-28</c:v>
                </c:pt>
                <c:pt idx="278">
                  <c:v>2014-03-31</c:v>
                </c:pt>
                <c:pt idx="279">
                  <c:v>2014-04-30</c:v>
                </c:pt>
                <c:pt idx="280">
                  <c:v>2014-05-31</c:v>
                </c:pt>
                <c:pt idx="281">
                  <c:v>2014-06-30</c:v>
                </c:pt>
                <c:pt idx="282">
                  <c:v>2014-07-31</c:v>
                </c:pt>
                <c:pt idx="283">
                  <c:v>2014-08-31</c:v>
                </c:pt>
                <c:pt idx="284">
                  <c:v>2014-09-30</c:v>
                </c:pt>
                <c:pt idx="285">
                  <c:v>2014-10-31</c:v>
                </c:pt>
                <c:pt idx="286">
                  <c:v>2014-11-30</c:v>
                </c:pt>
                <c:pt idx="287">
                  <c:v>2014-12-31</c:v>
                </c:pt>
                <c:pt idx="288">
                  <c:v>2015-01-31</c:v>
                </c:pt>
                <c:pt idx="289">
                  <c:v>2015-02-28</c:v>
                </c:pt>
                <c:pt idx="290">
                  <c:v>2015-03-31</c:v>
                </c:pt>
                <c:pt idx="291">
                  <c:v>2015-04-30</c:v>
                </c:pt>
                <c:pt idx="292">
                  <c:v>2015-05-31</c:v>
                </c:pt>
                <c:pt idx="293">
                  <c:v>2015-06-30</c:v>
                </c:pt>
                <c:pt idx="294">
                  <c:v>2015-07-31</c:v>
                </c:pt>
                <c:pt idx="295">
                  <c:v>2015-08-31</c:v>
                </c:pt>
                <c:pt idx="296">
                  <c:v>2015-09-30</c:v>
                </c:pt>
                <c:pt idx="297">
                  <c:v>2015-10-31</c:v>
                </c:pt>
                <c:pt idx="298">
                  <c:v>2015-11-30</c:v>
                </c:pt>
                <c:pt idx="299">
                  <c:v>2015-12-31</c:v>
                </c:pt>
                <c:pt idx="300">
                  <c:v>2016-01-31</c:v>
                </c:pt>
                <c:pt idx="301">
                  <c:v>2016-02-29</c:v>
                </c:pt>
                <c:pt idx="302">
                  <c:v>2016-03-31</c:v>
                </c:pt>
                <c:pt idx="303">
                  <c:v>2016-04-30</c:v>
                </c:pt>
                <c:pt idx="304">
                  <c:v>2016-05-31</c:v>
                </c:pt>
                <c:pt idx="305">
                  <c:v>2016-06-30</c:v>
                </c:pt>
                <c:pt idx="306">
                  <c:v>2016-07-31</c:v>
                </c:pt>
                <c:pt idx="307">
                  <c:v>2016-08-31</c:v>
                </c:pt>
                <c:pt idx="308">
                  <c:v>2016-09-30</c:v>
                </c:pt>
                <c:pt idx="309">
                  <c:v>2016-10-31</c:v>
                </c:pt>
                <c:pt idx="310">
                  <c:v>2016-11-30</c:v>
                </c:pt>
                <c:pt idx="311">
                  <c:v>2016-12-31</c:v>
                </c:pt>
                <c:pt idx="312">
                  <c:v>2017-01-31</c:v>
                </c:pt>
                <c:pt idx="313">
                  <c:v>2017-02-28</c:v>
                </c:pt>
                <c:pt idx="314">
                  <c:v>2017-03-31</c:v>
                </c:pt>
                <c:pt idx="315">
                  <c:v>2017-04-30</c:v>
                </c:pt>
                <c:pt idx="316">
                  <c:v>2017-05-31</c:v>
                </c:pt>
                <c:pt idx="317">
                  <c:v>2017-06-30</c:v>
                </c:pt>
                <c:pt idx="318">
                  <c:v>2017-07-31</c:v>
                </c:pt>
                <c:pt idx="319">
                  <c:v>2017-08-31</c:v>
                </c:pt>
                <c:pt idx="320">
                  <c:v>2017-09-30</c:v>
                </c:pt>
                <c:pt idx="321">
                  <c:v>2017-10-31</c:v>
                </c:pt>
                <c:pt idx="322">
                  <c:v>2017-11-30</c:v>
                </c:pt>
                <c:pt idx="323">
                  <c:v>2017-12-31</c:v>
                </c:pt>
                <c:pt idx="324">
                  <c:v>2018-01-31</c:v>
                </c:pt>
                <c:pt idx="325">
                  <c:v>2018-02-28</c:v>
                </c:pt>
                <c:pt idx="326">
                  <c:v>2018-03-31</c:v>
                </c:pt>
                <c:pt idx="327">
                  <c:v>2018-04-30</c:v>
                </c:pt>
                <c:pt idx="328">
                  <c:v>2018-05-31</c:v>
                </c:pt>
                <c:pt idx="329">
                  <c:v>2018-06-30</c:v>
                </c:pt>
                <c:pt idx="330">
                  <c:v>2018-07-31</c:v>
                </c:pt>
                <c:pt idx="331">
                  <c:v>2018-08-31</c:v>
                </c:pt>
                <c:pt idx="332">
                  <c:v>2018-09-30</c:v>
                </c:pt>
                <c:pt idx="333">
                  <c:v>2018-10-31</c:v>
                </c:pt>
                <c:pt idx="334">
                  <c:v>2018-11-30</c:v>
                </c:pt>
                <c:pt idx="335">
                  <c:v>2018-12-31</c:v>
                </c:pt>
                <c:pt idx="336">
                  <c:v>2019-01-31</c:v>
                </c:pt>
                <c:pt idx="337">
                  <c:v>2019-02-28</c:v>
                </c:pt>
                <c:pt idx="338">
                  <c:v>2019-03-31</c:v>
                </c:pt>
                <c:pt idx="339">
                  <c:v>2019-04-30</c:v>
                </c:pt>
                <c:pt idx="340">
                  <c:v>2019-05-31</c:v>
                </c:pt>
                <c:pt idx="341">
                  <c:v>2019-06-30</c:v>
                </c:pt>
                <c:pt idx="342">
                  <c:v>2019-07-31</c:v>
                </c:pt>
                <c:pt idx="343">
                  <c:v>2019-08-31</c:v>
                </c:pt>
                <c:pt idx="344">
                  <c:v>2019-09-30</c:v>
                </c:pt>
                <c:pt idx="345">
                  <c:v>2019-10-31</c:v>
                </c:pt>
                <c:pt idx="346">
                  <c:v>2019-11-30</c:v>
                </c:pt>
                <c:pt idx="347">
                  <c:v>2019-12-31</c:v>
                </c:pt>
                <c:pt idx="348">
                  <c:v>2020-01-31</c:v>
                </c:pt>
                <c:pt idx="349">
                  <c:v>2020-02-29</c:v>
                </c:pt>
                <c:pt idx="350">
                  <c:v>2020-03-31</c:v>
                </c:pt>
                <c:pt idx="351">
                  <c:v>2020-04-30</c:v>
                </c:pt>
                <c:pt idx="352">
                  <c:v>2020-05-31</c:v>
                </c:pt>
                <c:pt idx="353">
                  <c:v>2020-06-30</c:v>
                </c:pt>
                <c:pt idx="354">
                  <c:v>2020-07-31</c:v>
                </c:pt>
                <c:pt idx="355">
                  <c:v>2020-08-31</c:v>
                </c:pt>
                <c:pt idx="356">
                  <c:v>2020-09-30</c:v>
                </c:pt>
                <c:pt idx="357">
                  <c:v>2020-10-31</c:v>
                </c:pt>
                <c:pt idx="358">
                  <c:v>2020-11-30</c:v>
                </c:pt>
                <c:pt idx="359">
                  <c:v>2020-12-31</c:v>
                </c:pt>
                <c:pt idx="360">
                  <c:v>2021-01-31</c:v>
                </c:pt>
                <c:pt idx="361">
                  <c:v>2021-02-28</c:v>
                </c:pt>
                <c:pt idx="362">
                  <c:v>2021-03-31</c:v>
                </c:pt>
                <c:pt idx="363">
                  <c:v>2021-04-30</c:v>
                </c:pt>
                <c:pt idx="364">
                  <c:v>2021-05-31</c:v>
                </c:pt>
                <c:pt idx="365">
                  <c:v>2021-06-30</c:v>
                </c:pt>
                <c:pt idx="366">
                  <c:v>2021-07-31</c:v>
                </c:pt>
                <c:pt idx="367">
                  <c:v>2021-08-31</c:v>
                </c:pt>
                <c:pt idx="368">
                  <c:v>2021-09-30</c:v>
                </c:pt>
                <c:pt idx="369">
                  <c:v>2021-10-31</c:v>
                </c:pt>
                <c:pt idx="370">
                  <c:v>2021-11-30</c:v>
                </c:pt>
                <c:pt idx="371">
                  <c:v>2021-12-31</c:v>
                </c:pt>
                <c:pt idx="372">
                  <c:v>2022-01-31</c:v>
                </c:pt>
                <c:pt idx="373">
                  <c:v>2022-02-28</c:v>
                </c:pt>
                <c:pt idx="374">
                  <c:v>2022-03-31</c:v>
                </c:pt>
                <c:pt idx="375">
                  <c:v>2022-04-30</c:v>
                </c:pt>
                <c:pt idx="376">
                  <c:v>2022-05-31</c:v>
                </c:pt>
                <c:pt idx="377">
                  <c:v>2022-06-30</c:v>
                </c:pt>
                <c:pt idx="378">
                  <c:v>2022-07-31</c:v>
                </c:pt>
                <c:pt idx="379">
                  <c:v>2022-08-31</c:v>
                </c:pt>
                <c:pt idx="380">
                  <c:v>2022-09-30</c:v>
                </c:pt>
                <c:pt idx="381">
                  <c:v>2022-10-31</c:v>
                </c:pt>
                <c:pt idx="382">
                  <c:v>2022-11-30</c:v>
                </c:pt>
                <c:pt idx="383">
                  <c:v>2022-12-31</c:v>
                </c:pt>
                <c:pt idx="384">
                  <c:v>2023-01-31</c:v>
                </c:pt>
                <c:pt idx="385">
                  <c:v>2023-02-28</c:v>
                </c:pt>
                <c:pt idx="386">
                  <c:v>2023-03-31</c:v>
                </c:pt>
                <c:pt idx="387">
                  <c:v>2023-04-30</c:v>
                </c:pt>
                <c:pt idx="388">
                  <c:v>2023-05-31</c:v>
                </c:pt>
                <c:pt idx="389">
                  <c:v>2023-06-30</c:v>
                </c:pt>
                <c:pt idx="390">
                  <c:v>2023-07-31</c:v>
                </c:pt>
                <c:pt idx="391">
                  <c:v>2023-08-31</c:v>
                </c:pt>
                <c:pt idx="392">
                  <c:v>2023-09-30</c:v>
                </c:pt>
                <c:pt idx="393">
                  <c:v>2023-10-31</c:v>
                </c:pt>
                <c:pt idx="394">
                  <c:v>2023-11-30</c:v>
                </c:pt>
                <c:pt idx="395">
                  <c:v>2023-12-31</c:v>
                </c:pt>
                <c:pt idx="396">
                  <c:v>2024-01-31</c:v>
                </c:pt>
                <c:pt idx="397">
                  <c:v>2024-02-29</c:v>
                </c:pt>
                <c:pt idx="398">
                  <c:v>2024-03-31</c:v>
                </c:pt>
                <c:pt idx="399">
                  <c:v>2024-04-30</c:v>
                </c:pt>
                <c:pt idx="400">
                  <c:v>2024-05-31</c:v>
                </c:pt>
                <c:pt idx="401">
                  <c:v>2024-06-30</c:v>
                </c:pt>
                <c:pt idx="402">
                  <c:v>2024-07-31</c:v>
                </c:pt>
                <c:pt idx="403">
                  <c:v>2024-08-31</c:v>
                </c:pt>
                <c:pt idx="404">
                  <c:v>2024-09-30</c:v>
                </c:pt>
                <c:pt idx="405">
                  <c:v>2024-10-31</c:v>
                </c:pt>
                <c:pt idx="406">
                  <c:v>2024-11-30</c:v>
                </c:pt>
                <c:pt idx="407">
                  <c:v>2024-12-31</c:v>
                </c:pt>
                <c:pt idx="408">
                  <c:v>2025-01-31</c:v>
                </c:pt>
                <c:pt idx="409">
                  <c:v>2025-02-28</c:v>
                </c:pt>
                <c:pt idx="410">
                  <c:v>2025-03-31</c:v>
                </c:pt>
                <c:pt idx="411">
                  <c:v>2025-04-30</c:v>
                </c:pt>
                <c:pt idx="412">
                  <c:v>2025-05-31</c:v>
                </c:pt>
                <c:pt idx="413">
                  <c:v>2025-06-30</c:v>
                </c:pt>
                <c:pt idx="414">
                  <c:v>2025-07-31</c:v>
                </c:pt>
                <c:pt idx="415">
                  <c:v>2025-08-31</c:v>
                </c:pt>
                <c:pt idx="416">
                  <c:v>2025-09-30</c:v>
                </c:pt>
                <c:pt idx="417">
                  <c:v>2025-10-31</c:v>
                </c:pt>
                <c:pt idx="418">
                  <c:v>2025-11-30</c:v>
                </c:pt>
                <c:pt idx="419">
                  <c:v>2025-12-31</c:v>
                </c:pt>
                <c:pt idx="420">
                  <c:v>2026-02-28</c:v>
                </c:pt>
                <c:pt idx="421">
                  <c:v>2026-03-31</c:v>
                </c:pt>
                <c:pt idx="422">
                  <c:v>2026-04-30</c:v>
                </c:pt>
              </c:strCache>
            </c:strRef>
          </c:cat>
          <c:val>
            <c:numRef>
              <c:f>DATA!$D$16:$D$438</c:f>
              <c:numCache>
                <c:formatCode>General</c:formatCode>
                <c:ptCount val="423"/>
                <c:pt idx="0">
                  <c:v>6.9448800000000004</c:v>
                </c:pt>
                <c:pt idx="1">
                  <c:v>6.3412699999999997</c:v>
                </c:pt>
                <c:pt idx="2">
                  <c:v>6.4724599999999999</c:v>
                </c:pt>
                <c:pt idx="3">
                  <c:v>6.3173599999999999</c:v>
                </c:pt>
                <c:pt idx="4">
                  <c:v>5.8854769999999998</c:v>
                </c:pt>
                <c:pt idx="5">
                  <c:v>5.7527299999999997</c:v>
                </c:pt>
                <c:pt idx="6">
                  <c:v>5.2246100000000002</c:v>
                </c:pt>
                <c:pt idx="7">
                  <c:v>5.7016900000000001</c:v>
                </c:pt>
                <c:pt idx="8">
                  <c:v>6.1020799999999999</c:v>
                </c:pt>
                <c:pt idx="9">
                  <c:v>6.171881</c:v>
                </c:pt>
                <c:pt idx="10">
                  <c:v>5.8183199999999999</c:v>
                </c:pt>
                <c:pt idx="11">
                  <c:v>5.7923249999999999</c:v>
                </c:pt>
                <c:pt idx="12">
                  <c:v>5.7113899999999997</c:v>
                </c:pt>
                <c:pt idx="13">
                  <c:v>5.7469910000000004</c:v>
                </c:pt>
                <c:pt idx="14">
                  <c:v>5.281193</c:v>
                </c:pt>
                <c:pt idx="15">
                  <c:v>5.4231090000000002</c:v>
                </c:pt>
                <c:pt idx="16">
                  <c:v>5.5796559999999999</c:v>
                </c:pt>
                <c:pt idx="17">
                  <c:v>5.925446</c:v>
                </c:pt>
                <c:pt idx="18">
                  <c:v>6.7330899999999998</c:v>
                </c:pt>
                <c:pt idx="19">
                  <c:v>6.8013599999999999</c:v>
                </c:pt>
                <c:pt idx="20">
                  <c:v>6.7218600000000004</c:v>
                </c:pt>
                <c:pt idx="21">
                  <c:v>7.0244900000000001</c:v>
                </c:pt>
                <c:pt idx="22">
                  <c:v>6.7812999999999999</c:v>
                </c:pt>
                <c:pt idx="23">
                  <c:v>6.7328010000000003</c:v>
                </c:pt>
                <c:pt idx="24">
                  <c:v>6.3027049999999996</c:v>
                </c:pt>
                <c:pt idx="25">
                  <c:v>6.003037</c:v>
                </c:pt>
                <c:pt idx="26">
                  <c:v>5.9457820000000003</c:v>
                </c:pt>
                <c:pt idx="27">
                  <c:v>5.9558840000000002</c:v>
                </c:pt>
                <c:pt idx="28">
                  <c:v>5.9422940000000004</c:v>
                </c:pt>
                <c:pt idx="29">
                  <c:v>5.6796230000000003</c:v>
                </c:pt>
                <c:pt idx="30">
                  <c:v>5.1018280000000003</c:v>
                </c:pt>
                <c:pt idx="31">
                  <c:v>4.6197429999999997</c:v>
                </c:pt>
                <c:pt idx="32">
                  <c:v>4.3120000000000003</c:v>
                </c:pt>
                <c:pt idx="33">
                  <c:v>4.061458</c:v>
                </c:pt>
                <c:pt idx="34">
                  <c:v>4.1806359999999998</c:v>
                </c:pt>
                <c:pt idx="35">
                  <c:v>3.9852780000000001</c:v>
                </c:pt>
                <c:pt idx="36">
                  <c:v>3.79</c:v>
                </c:pt>
                <c:pt idx="37">
                  <c:v>3.98</c:v>
                </c:pt>
                <c:pt idx="38">
                  <c:v>4.55</c:v>
                </c:pt>
                <c:pt idx="39">
                  <c:v>4.76</c:v>
                </c:pt>
                <c:pt idx="40">
                  <c:v>4.95</c:v>
                </c:pt>
                <c:pt idx="41">
                  <c:v>5.67</c:v>
                </c:pt>
                <c:pt idx="42">
                  <c:v>5.79</c:v>
                </c:pt>
                <c:pt idx="43">
                  <c:v>5.98</c:v>
                </c:pt>
                <c:pt idx="44">
                  <c:v>6.42</c:v>
                </c:pt>
                <c:pt idx="45">
                  <c:v>6.56</c:v>
                </c:pt>
                <c:pt idx="46">
                  <c:v>6.62</c:v>
                </c:pt>
                <c:pt idx="47">
                  <c:v>6.54</c:v>
                </c:pt>
                <c:pt idx="48">
                  <c:v>6.94</c:v>
                </c:pt>
                <c:pt idx="49">
                  <c:v>6.79</c:v>
                </c:pt>
                <c:pt idx="50">
                  <c:v>6.93</c:v>
                </c:pt>
                <c:pt idx="51">
                  <c:v>6.66</c:v>
                </c:pt>
                <c:pt idx="52">
                  <c:v>6.38</c:v>
                </c:pt>
                <c:pt idx="53">
                  <c:v>6.15</c:v>
                </c:pt>
                <c:pt idx="54">
                  <c:v>6.31</c:v>
                </c:pt>
                <c:pt idx="55">
                  <c:v>6.17</c:v>
                </c:pt>
                <c:pt idx="56">
                  <c:v>5.96</c:v>
                </c:pt>
                <c:pt idx="57">
                  <c:v>6.08</c:v>
                </c:pt>
                <c:pt idx="58">
                  <c:v>5.76</c:v>
                </c:pt>
                <c:pt idx="59">
                  <c:v>5.42</c:v>
                </c:pt>
                <c:pt idx="60">
                  <c:v>5.04</c:v>
                </c:pt>
                <c:pt idx="61">
                  <c:v>5.26</c:v>
                </c:pt>
                <c:pt idx="62">
                  <c:v>5.43</c:v>
                </c:pt>
                <c:pt idx="63">
                  <c:v>5.22</c:v>
                </c:pt>
                <c:pt idx="64">
                  <c:v>4.9800000000000004</c:v>
                </c:pt>
                <c:pt idx="65">
                  <c:v>5.41</c:v>
                </c:pt>
                <c:pt idx="66">
                  <c:v>5.29</c:v>
                </c:pt>
                <c:pt idx="67">
                  <c:v>5.31</c:v>
                </c:pt>
                <c:pt idx="68">
                  <c:v>5.13</c:v>
                </c:pt>
                <c:pt idx="69">
                  <c:v>4.68</c:v>
                </c:pt>
                <c:pt idx="70">
                  <c:v>4.53</c:v>
                </c:pt>
                <c:pt idx="71">
                  <c:v>4.41</c:v>
                </c:pt>
                <c:pt idx="72">
                  <c:v>4.2300000000000004</c:v>
                </c:pt>
                <c:pt idx="73">
                  <c:v>4.26</c:v>
                </c:pt>
                <c:pt idx="74">
                  <c:v>4.72</c:v>
                </c:pt>
                <c:pt idx="75">
                  <c:v>5.09</c:v>
                </c:pt>
                <c:pt idx="76">
                  <c:v>4.78</c:v>
                </c:pt>
                <c:pt idx="77">
                  <c:v>4.6900000000000004</c:v>
                </c:pt>
                <c:pt idx="78">
                  <c:v>4.33</c:v>
                </c:pt>
                <c:pt idx="79">
                  <c:v>4.24</c:v>
                </c:pt>
                <c:pt idx="80">
                  <c:v>4.0599999999999996</c:v>
                </c:pt>
                <c:pt idx="81">
                  <c:v>4.25</c:v>
                </c:pt>
                <c:pt idx="82">
                  <c:v>3.99</c:v>
                </c:pt>
                <c:pt idx="83">
                  <c:v>3.96</c:v>
                </c:pt>
                <c:pt idx="84">
                  <c:v>4.12</c:v>
                </c:pt>
                <c:pt idx="85">
                  <c:v>4.0199999999999996</c:v>
                </c:pt>
                <c:pt idx="86">
                  <c:v>3.91</c:v>
                </c:pt>
                <c:pt idx="87">
                  <c:v>3.6</c:v>
                </c:pt>
                <c:pt idx="88">
                  <c:v>3.76</c:v>
                </c:pt>
                <c:pt idx="89">
                  <c:v>3.61</c:v>
                </c:pt>
                <c:pt idx="90">
                  <c:v>3.52</c:v>
                </c:pt>
                <c:pt idx="91">
                  <c:v>3.49</c:v>
                </c:pt>
                <c:pt idx="92">
                  <c:v>3.27</c:v>
                </c:pt>
                <c:pt idx="93">
                  <c:v>3.35</c:v>
                </c:pt>
                <c:pt idx="94">
                  <c:v>3.44</c:v>
                </c:pt>
                <c:pt idx="95">
                  <c:v>3.15</c:v>
                </c:pt>
                <c:pt idx="96">
                  <c:v>3.0219985999999999</c:v>
                </c:pt>
                <c:pt idx="97">
                  <c:v>3.2742401999999999</c:v>
                </c:pt>
                <c:pt idx="98">
                  <c:v>3.2809843999999999</c:v>
                </c:pt>
                <c:pt idx="99">
                  <c:v>2.9406932000000001</c:v>
                </c:pt>
                <c:pt idx="100">
                  <c:v>3.3048530999999999</c:v>
                </c:pt>
                <c:pt idx="101">
                  <c:v>3.6266514999999999</c:v>
                </c:pt>
                <c:pt idx="102">
                  <c:v>3.8561608999999999</c:v>
                </c:pt>
                <c:pt idx="103">
                  <c:v>3.9605728999999998</c:v>
                </c:pt>
                <c:pt idx="104">
                  <c:v>4.0353355000000004</c:v>
                </c:pt>
                <c:pt idx="105">
                  <c:v>4.1716357999999998</c:v>
                </c:pt>
                <c:pt idx="106">
                  <c:v>3.6842068000000001</c:v>
                </c:pt>
                <c:pt idx="107">
                  <c:v>3.6043565000000002</c:v>
                </c:pt>
                <c:pt idx="108">
                  <c:v>3.7985392</c:v>
                </c:pt>
                <c:pt idx="109">
                  <c:v>3.7635993999999999</c:v>
                </c:pt>
                <c:pt idx="110">
                  <c:v>3.4906288000000001</c:v>
                </c:pt>
                <c:pt idx="111">
                  <c:v>3.7137984999999998</c:v>
                </c:pt>
                <c:pt idx="112">
                  <c:v>3.7154975000000001</c:v>
                </c:pt>
                <c:pt idx="113">
                  <c:v>3.2453751</c:v>
                </c:pt>
                <c:pt idx="114">
                  <c:v>3.3537355</c:v>
                </c:pt>
                <c:pt idx="115">
                  <c:v>3.3981781999999998</c:v>
                </c:pt>
                <c:pt idx="116">
                  <c:v>3.0671846999999999</c:v>
                </c:pt>
                <c:pt idx="117">
                  <c:v>3.0162589999999998</c:v>
                </c:pt>
                <c:pt idx="118">
                  <c:v>2.8357014</c:v>
                </c:pt>
                <c:pt idx="119">
                  <c:v>2.5680265000000002</c:v>
                </c:pt>
                <c:pt idx="120">
                  <c:v>3.0082062000000001</c:v>
                </c:pt>
                <c:pt idx="121">
                  <c:v>3.0210686</c:v>
                </c:pt>
                <c:pt idx="122">
                  <c:v>2.7381224</c:v>
                </c:pt>
                <c:pt idx="123">
                  <c:v>2.4013779</c:v>
                </c:pt>
                <c:pt idx="124">
                  <c:v>2.1625182000000001</c:v>
                </c:pt>
                <c:pt idx="125">
                  <c:v>2.3082877000000002</c:v>
                </c:pt>
                <c:pt idx="126">
                  <c:v>2.7500249000000001</c:v>
                </c:pt>
                <c:pt idx="127">
                  <c:v>2.7582135999999999</c:v>
                </c:pt>
                <c:pt idx="128">
                  <c:v>2.8374285000000001</c:v>
                </c:pt>
                <c:pt idx="129">
                  <c:v>2.6168694000000001</c:v>
                </c:pt>
                <c:pt idx="130">
                  <c:v>2.6666604999999999</c:v>
                </c:pt>
                <c:pt idx="131">
                  <c:v>2.8587674000000001</c:v>
                </c:pt>
                <c:pt idx="132">
                  <c:v>2.4228877999999998</c:v>
                </c:pt>
                <c:pt idx="133">
                  <c:v>2.5661149999999999</c:v>
                </c:pt>
                <c:pt idx="134">
                  <c:v>2.8164609999999999</c:v>
                </c:pt>
                <c:pt idx="135">
                  <c:v>2.8972424999999999</c:v>
                </c:pt>
                <c:pt idx="136">
                  <c:v>3.2031432999999998</c:v>
                </c:pt>
                <c:pt idx="137">
                  <c:v>3.2648676000000001</c:v>
                </c:pt>
                <c:pt idx="138">
                  <c:v>3.0274076000000001</c:v>
                </c:pt>
                <c:pt idx="139">
                  <c:v>2.6310544999999999</c:v>
                </c:pt>
                <c:pt idx="140">
                  <c:v>2.4232901999999998</c:v>
                </c:pt>
                <c:pt idx="141">
                  <c:v>2.3234653000000001</c:v>
                </c:pt>
                <c:pt idx="142">
                  <c:v>2.2923678000000001</c:v>
                </c:pt>
                <c:pt idx="143">
                  <c:v>2.1064959999999999</c:v>
                </c:pt>
                <c:pt idx="144">
                  <c:v>2.1703242</c:v>
                </c:pt>
                <c:pt idx="145">
                  <c:v>1.6607911</c:v>
                </c:pt>
                <c:pt idx="146">
                  <c:v>1.7271641</c:v>
                </c:pt>
                <c:pt idx="147">
                  <c:v>2.1288635999999999</c:v>
                </c:pt>
                <c:pt idx="148">
                  <c:v>2.1187084999999999</c:v>
                </c:pt>
                <c:pt idx="149">
                  <c:v>1.7233099000000001</c:v>
                </c:pt>
                <c:pt idx="150">
                  <c:v>2.1626238</c:v>
                </c:pt>
                <c:pt idx="151">
                  <c:v>2.2046960000000002</c:v>
                </c:pt>
                <c:pt idx="152">
                  <c:v>2.1318514</c:v>
                </c:pt>
                <c:pt idx="153">
                  <c:v>2.3080683</c:v>
                </c:pt>
                <c:pt idx="154">
                  <c:v>2.2378369</c:v>
                </c:pt>
                <c:pt idx="155">
                  <c:v>2.3560048</c:v>
                </c:pt>
                <c:pt idx="156">
                  <c:v>2.4567033</c:v>
                </c:pt>
                <c:pt idx="157">
                  <c:v>2.5832801000000001</c:v>
                </c:pt>
                <c:pt idx="158">
                  <c:v>2.3194105999999999</c:v>
                </c:pt>
                <c:pt idx="159">
                  <c:v>2.1424262999999999</c:v>
                </c:pt>
                <c:pt idx="160">
                  <c:v>1.8862071</c:v>
                </c:pt>
                <c:pt idx="161">
                  <c:v>2.0426014000000001</c:v>
                </c:pt>
                <c:pt idx="162">
                  <c:v>2.0395705</c:v>
                </c:pt>
                <c:pt idx="163">
                  <c:v>1.7678858</c:v>
                </c:pt>
                <c:pt idx="164">
                  <c:v>2.0139713000000001</c:v>
                </c:pt>
                <c:pt idx="165">
                  <c:v>1.5794187</c:v>
                </c:pt>
                <c:pt idx="166">
                  <c:v>1.6686874</c:v>
                </c:pt>
                <c:pt idx="167">
                  <c:v>1.3893466999999999</c:v>
                </c:pt>
                <c:pt idx="168">
                  <c:v>1.7336001000000001</c:v>
                </c:pt>
                <c:pt idx="169">
                  <c:v>1.5152794999999999</c:v>
                </c:pt>
                <c:pt idx="170">
                  <c:v>1.5624571</c:v>
                </c:pt>
                <c:pt idx="171">
                  <c:v>1.470942</c:v>
                </c:pt>
                <c:pt idx="172">
                  <c:v>1.4074312</c:v>
                </c:pt>
                <c:pt idx="173">
                  <c:v>1.2541142000000001</c:v>
                </c:pt>
                <c:pt idx="174">
                  <c:v>1.2159930000000001</c:v>
                </c:pt>
                <c:pt idx="175">
                  <c:v>1.1155436000000001</c:v>
                </c:pt>
                <c:pt idx="176">
                  <c:v>0.55553770000000002</c:v>
                </c:pt>
                <c:pt idx="177">
                  <c:v>0.82335999999999998</c:v>
                </c:pt>
                <c:pt idx="178">
                  <c:v>1.2272544999999999</c:v>
                </c:pt>
                <c:pt idx="179">
                  <c:v>1.1089819000000001</c:v>
                </c:pt>
                <c:pt idx="180">
                  <c:v>0.99270139999999996</c:v>
                </c:pt>
                <c:pt idx="181">
                  <c:v>1.1510043999999999</c:v>
                </c:pt>
                <c:pt idx="182">
                  <c:v>1.5311823</c:v>
                </c:pt>
                <c:pt idx="183">
                  <c:v>1.6116374</c:v>
                </c:pt>
                <c:pt idx="184">
                  <c:v>1.5602954</c:v>
                </c:pt>
                <c:pt idx="185">
                  <c:v>1.5750885999999999</c:v>
                </c:pt>
                <c:pt idx="186">
                  <c:v>1.6962879</c:v>
                </c:pt>
                <c:pt idx="187">
                  <c:v>1.6681832999999999</c:v>
                </c:pt>
                <c:pt idx="188">
                  <c:v>2.0398483000000001</c:v>
                </c:pt>
                <c:pt idx="189">
                  <c:v>2.2812863999999999</c:v>
                </c:pt>
                <c:pt idx="190">
                  <c:v>2.0040629000000001</c:v>
                </c:pt>
                <c:pt idx="191">
                  <c:v>2.0026031</c:v>
                </c:pt>
                <c:pt idx="192">
                  <c:v>2.3028095</c:v>
                </c:pt>
                <c:pt idx="193">
                  <c:v>2.3175186000000001</c:v>
                </c:pt>
                <c:pt idx="194">
                  <c:v>2.1227168999999999</c:v>
                </c:pt>
                <c:pt idx="195">
                  <c:v>2.3458817000000001</c:v>
                </c:pt>
                <c:pt idx="196">
                  <c:v>2.473096</c:v>
                </c:pt>
                <c:pt idx="197">
                  <c:v>2.7607553</c:v>
                </c:pt>
                <c:pt idx="198">
                  <c:v>2.8284248999999999</c:v>
                </c:pt>
                <c:pt idx="199">
                  <c:v>2.7263128000000001</c:v>
                </c:pt>
                <c:pt idx="200">
                  <c:v>2.2694046999999999</c:v>
                </c:pt>
                <c:pt idx="201">
                  <c:v>1.9002148999999999</c:v>
                </c:pt>
                <c:pt idx="202">
                  <c:v>1.1515404</c:v>
                </c:pt>
                <c:pt idx="203">
                  <c:v>1.2817619</c:v>
                </c:pt>
                <c:pt idx="204">
                  <c:v>1.0317453000000001</c:v>
                </c:pt>
                <c:pt idx="205">
                  <c:v>0.83937099999999998</c:v>
                </c:pt>
                <c:pt idx="206">
                  <c:v>0.47051219999999999</c:v>
                </c:pt>
                <c:pt idx="207">
                  <c:v>0.98274649999999997</c:v>
                </c:pt>
                <c:pt idx="208">
                  <c:v>0.72327079999999999</c:v>
                </c:pt>
                <c:pt idx="209">
                  <c:v>0.9092517</c:v>
                </c:pt>
                <c:pt idx="210">
                  <c:v>0.71450919999999996</c:v>
                </c:pt>
                <c:pt idx="211">
                  <c:v>0.69604299999999997</c:v>
                </c:pt>
                <c:pt idx="212">
                  <c:v>0.90429839999999995</c:v>
                </c:pt>
                <c:pt idx="213">
                  <c:v>1.2158255</c:v>
                </c:pt>
                <c:pt idx="214">
                  <c:v>2.0964263000000001</c:v>
                </c:pt>
                <c:pt idx="215">
                  <c:v>2.2881412999999999</c:v>
                </c:pt>
                <c:pt idx="216">
                  <c:v>2.999895</c:v>
                </c:pt>
                <c:pt idx="217">
                  <c:v>2.9964883000000002</c:v>
                </c:pt>
                <c:pt idx="218">
                  <c:v>3.5419714</c:v>
                </c:pt>
                <c:pt idx="219">
                  <c:v>3.4893432</c:v>
                </c:pt>
                <c:pt idx="220">
                  <c:v>4.1331359000000001</c:v>
                </c:pt>
                <c:pt idx="221">
                  <c:v>4.4249540999999999</c:v>
                </c:pt>
                <c:pt idx="222">
                  <c:v>4.6886773000000002</c:v>
                </c:pt>
                <c:pt idx="223">
                  <c:v>4.0914922999999996</c:v>
                </c:pt>
                <c:pt idx="224">
                  <c:v>4.1669805999999996</c:v>
                </c:pt>
                <c:pt idx="225">
                  <c:v>3.9038636000000002</c:v>
                </c:pt>
                <c:pt idx="226">
                  <c:v>3.3349723</c:v>
                </c:pt>
                <c:pt idx="227">
                  <c:v>2.9716228999999998</c:v>
                </c:pt>
                <c:pt idx="228">
                  <c:v>3.20167</c:v>
                </c:pt>
                <c:pt idx="229">
                  <c:v>3.3059943999999999</c:v>
                </c:pt>
                <c:pt idx="230">
                  <c:v>2.3866654</c:v>
                </c:pt>
                <c:pt idx="231">
                  <c:v>2.5670592000000001</c:v>
                </c:pt>
                <c:pt idx="232">
                  <c:v>1.9841736999999999</c:v>
                </c:pt>
                <c:pt idx="233">
                  <c:v>2.189829</c:v>
                </c:pt>
                <c:pt idx="234">
                  <c:v>1.9103851000000001</c:v>
                </c:pt>
                <c:pt idx="235">
                  <c:v>1.8378817999999999</c:v>
                </c:pt>
                <c:pt idx="236">
                  <c:v>1.5921167000000001</c:v>
                </c:pt>
                <c:pt idx="237">
                  <c:v>1.4293244000000001</c:v>
                </c:pt>
                <c:pt idx="238">
                  <c:v>1.8182547</c:v>
                </c:pt>
                <c:pt idx="239">
                  <c:v>1.8534993</c:v>
                </c:pt>
                <c:pt idx="240">
                  <c:v>1.6326299</c:v>
                </c:pt>
                <c:pt idx="241">
                  <c:v>2.0747876000000001</c:v>
                </c:pt>
                <c:pt idx="242">
                  <c:v>1.7879346</c:v>
                </c:pt>
                <c:pt idx="243">
                  <c:v>1.8604114</c:v>
                </c:pt>
                <c:pt idx="244">
                  <c:v>1.6674793000000001</c:v>
                </c:pt>
                <c:pt idx="245">
                  <c:v>1.6743838</c:v>
                </c:pt>
                <c:pt idx="246">
                  <c:v>1.9966834</c:v>
                </c:pt>
                <c:pt idx="247">
                  <c:v>1.7044927999999999</c:v>
                </c:pt>
                <c:pt idx="248">
                  <c:v>1.0344971000000001</c:v>
                </c:pt>
                <c:pt idx="249">
                  <c:v>1.0777591</c:v>
                </c:pt>
                <c:pt idx="250">
                  <c:v>1.3917473</c:v>
                </c:pt>
                <c:pt idx="251">
                  <c:v>1.2926229</c:v>
                </c:pt>
                <c:pt idx="252">
                  <c:v>1.2043381</c:v>
                </c:pt>
                <c:pt idx="253">
                  <c:v>1.0440872999999999</c:v>
                </c:pt>
                <c:pt idx="254">
                  <c:v>0.58276479999999997</c:v>
                </c:pt>
                <c:pt idx="255">
                  <c:v>0.7818773</c:v>
                </c:pt>
                <c:pt idx="256">
                  <c:v>1.1255447000000001</c:v>
                </c:pt>
                <c:pt idx="257">
                  <c:v>1.0059941999999999</c:v>
                </c:pt>
                <c:pt idx="258">
                  <c:v>0.84899460000000004</c:v>
                </c:pt>
                <c:pt idx="259">
                  <c:v>0.40803600000000001</c:v>
                </c:pt>
                <c:pt idx="260">
                  <c:v>-0.1813266</c:v>
                </c:pt>
                <c:pt idx="261">
                  <c:v>-0.19421820000000001</c:v>
                </c:pt>
                <c:pt idx="262">
                  <c:v>4.6651199999999997E-2</c:v>
                </c:pt>
                <c:pt idx="263">
                  <c:v>-0.1009326</c:v>
                </c:pt>
                <c:pt idx="264">
                  <c:v>0.39421810000000002</c:v>
                </c:pt>
                <c:pt idx="265">
                  <c:v>0.95792330000000003</c:v>
                </c:pt>
                <c:pt idx="266">
                  <c:v>1.3268070999999999</c:v>
                </c:pt>
                <c:pt idx="267">
                  <c:v>1.655735</c:v>
                </c:pt>
                <c:pt idx="268">
                  <c:v>1.2845614999999999</c:v>
                </c:pt>
                <c:pt idx="269">
                  <c:v>1.4696381000000001</c:v>
                </c:pt>
                <c:pt idx="270">
                  <c:v>1.5014137999999999</c:v>
                </c:pt>
                <c:pt idx="271">
                  <c:v>1.7968390000000001</c:v>
                </c:pt>
                <c:pt idx="272">
                  <c:v>2.3070925999999998</c:v>
                </c:pt>
                <c:pt idx="273">
                  <c:v>2.4629837000000001</c:v>
                </c:pt>
                <c:pt idx="274">
                  <c:v>2.2711819000000002</c:v>
                </c:pt>
                <c:pt idx="275">
                  <c:v>2.5129166999999999</c:v>
                </c:pt>
                <c:pt idx="276">
                  <c:v>2.4117343999999998</c:v>
                </c:pt>
                <c:pt idx="277">
                  <c:v>2.3887577000000002</c:v>
                </c:pt>
                <c:pt idx="278">
                  <c:v>2.3861058000000002</c:v>
                </c:pt>
                <c:pt idx="279">
                  <c:v>1.9100201000000001</c:v>
                </c:pt>
                <c:pt idx="280">
                  <c:v>2.0548774999999999</c:v>
                </c:pt>
                <c:pt idx="281">
                  <c:v>1.7750933</c:v>
                </c:pt>
                <c:pt idx="282">
                  <c:v>1.7569547000000001</c:v>
                </c:pt>
                <c:pt idx="283">
                  <c:v>1.5907639</c:v>
                </c:pt>
                <c:pt idx="284">
                  <c:v>1.5492648</c:v>
                </c:pt>
                <c:pt idx="285">
                  <c:v>1.2893828000000001</c:v>
                </c:pt>
                <c:pt idx="286">
                  <c:v>1.3167656999999999</c:v>
                </c:pt>
                <c:pt idx="287">
                  <c:v>1.6464759</c:v>
                </c:pt>
                <c:pt idx="288">
                  <c:v>1.865715</c:v>
                </c:pt>
                <c:pt idx="289">
                  <c:v>1.50888</c:v>
                </c:pt>
                <c:pt idx="290">
                  <c:v>1.0505888000000001</c:v>
                </c:pt>
                <c:pt idx="291">
                  <c:v>0.64981409999999995</c:v>
                </c:pt>
                <c:pt idx="292">
                  <c:v>0.73011269999999995</c:v>
                </c:pt>
                <c:pt idx="293">
                  <c:v>1.1594546999999999</c:v>
                </c:pt>
                <c:pt idx="294">
                  <c:v>1.0296605999999999</c:v>
                </c:pt>
                <c:pt idx="295">
                  <c:v>0.98766699999999996</c:v>
                </c:pt>
                <c:pt idx="296">
                  <c:v>1.2798981</c:v>
                </c:pt>
                <c:pt idx="297">
                  <c:v>0.80240140000000004</c:v>
                </c:pt>
                <c:pt idx="298">
                  <c:v>1.0537192</c:v>
                </c:pt>
                <c:pt idx="299">
                  <c:v>0.8917891</c:v>
                </c:pt>
                <c:pt idx="300">
                  <c:v>0.81450060000000002</c:v>
                </c:pt>
                <c:pt idx="301">
                  <c:v>1.141831</c:v>
                </c:pt>
                <c:pt idx="302">
                  <c:v>0.9306953</c:v>
                </c:pt>
                <c:pt idx="303">
                  <c:v>1.2601519000000001</c:v>
                </c:pt>
                <c:pt idx="304">
                  <c:v>1.0723313999999999</c:v>
                </c:pt>
                <c:pt idx="305">
                  <c:v>0.88297820000000005</c:v>
                </c:pt>
                <c:pt idx="306">
                  <c:v>0.42108820000000002</c:v>
                </c:pt>
                <c:pt idx="307">
                  <c:v>0.41115089999999999</c:v>
                </c:pt>
                <c:pt idx="308">
                  <c:v>0.33254250000000002</c:v>
                </c:pt>
                <c:pt idx="309">
                  <c:v>0.26641779999999998</c:v>
                </c:pt>
                <c:pt idx="310">
                  <c:v>0.62588779999999999</c:v>
                </c:pt>
                <c:pt idx="311">
                  <c:v>0.18320929999999999</c:v>
                </c:pt>
                <c:pt idx="312">
                  <c:v>-0.39261299999999999</c:v>
                </c:pt>
                <c:pt idx="313">
                  <c:v>-0.56285870000000005</c:v>
                </c:pt>
                <c:pt idx="314">
                  <c:v>-4.6863299999999997E-2</c:v>
                </c:pt>
                <c:pt idx="315">
                  <c:v>-0.63742500000000002</c:v>
                </c:pt>
                <c:pt idx="316">
                  <c:v>-0.22762840000000001</c:v>
                </c:pt>
                <c:pt idx="317">
                  <c:v>-0.2278897</c:v>
                </c:pt>
                <c:pt idx="318">
                  <c:v>-9.3529899999999999E-2</c:v>
                </c:pt>
                <c:pt idx="319">
                  <c:v>-0.45546829999999999</c:v>
                </c:pt>
                <c:pt idx="320">
                  <c:v>-0.48407889999999998</c:v>
                </c:pt>
                <c:pt idx="321">
                  <c:v>-0.25059579999999998</c:v>
                </c:pt>
                <c:pt idx="322">
                  <c:v>-0.55126839999999999</c:v>
                </c:pt>
                <c:pt idx="323">
                  <c:v>-0.42097370000000001</c:v>
                </c:pt>
                <c:pt idx="324">
                  <c:v>-0.26907029999999998</c:v>
                </c:pt>
                <c:pt idx="325">
                  <c:v>0.16966339999999999</c:v>
                </c:pt>
                <c:pt idx="326">
                  <c:v>-0.23160230000000001</c:v>
                </c:pt>
                <c:pt idx="327">
                  <c:v>-7.4468199999999998E-2</c:v>
                </c:pt>
                <c:pt idx="328">
                  <c:v>-0.76378460000000004</c:v>
                </c:pt>
                <c:pt idx="329">
                  <c:v>-0.71266940000000001</c:v>
                </c:pt>
                <c:pt idx="330">
                  <c:v>-1.0041169000000001</c:v>
                </c:pt>
                <c:pt idx="331">
                  <c:v>-0.73421159999999996</c:v>
                </c:pt>
                <c:pt idx="332">
                  <c:v>-0.78083849999999999</c:v>
                </c:pt>
                <c:pt idx="333">
                  <c:v>-0.74600569999999999</c:v>
                </c:pt>
                <c:pt idx="334">
                  <c:v>-0.4948205</c:v>
                </c:pt>
                <c:pt idx="335">
                  <c:v>-0.28944110000000001</c:v>
                </c:pt>
                <c:pt idx="336">
                  <c:v>-0.19757930000000001</c:v>
                </c:pt>
                <c:pt idx="337">
                  <c:v>-0.38000089999999997</c:v>
                </c:pt>
                <c:pt idx="338">
                  <c:v>-0.40802729999999998</c:v>
                </c:pt>
                <c:pt idx="339">
                  <c:v>-0.7479616</c:v>
                </c:pt>
                <c:pt idx="340">
                  <c:v>-0.32851580000000002</c:v>
                </c:pt>
                <c:pt idx="341">
                  <c:v>-0.72602429999999996</c:v>
                </c:pt>
                <c:pt idx="342">
                  <c:v>-0.64241320000000002</c:v>
                </c:pt>
                <c:pt idx="343">
                  <c:v>-0.90049670000000004</c:v>
                </c:pt>
                <c:pt idx="344">
                  <c:v>-0.75247710000000001</c:v>
                </c:pt>
                <c:pt idx="345">
                  <c:v>-0.56843220000000005</c:v>
                </c:pt>
                <c:pt idx="346">
                  <c:v>-0.69873240000000003</c:v>
                </c:pt>
                <c:pt idx="347">
                  <c:v>-0.93396349999999995</c:v>
                </c:pt>
                <c:pt idx="348">
                  <c:v>-1.0841324999999999</c:v>
                </c:pt>
                <c:pt idx="349">
                  <c:v>-1.0677372999999999</c:v>
                </c:pt>
                <c:pt idx="350">
                  <c:v>-0.32736569999999998</c:v>
                </c:pt>
                <c:pt idx="351">
                  <c:v>0.2537761</c:v>
                </c:pt>
                <c:pt idx="352">
                  <c:v>0.37913570000000002</c:v>
                </c:pt>
                <c:pt idx="353">
                  <c:v>5.1459299999999999E-2</c:v>
                </c:pt>
                <c:pt idx="354">
                  <c:v>-0.17911469999999999</c:v>
                </c:pt>
                <c:pt idx="355">
                  <c:v>0.360072</c:v>
                </c:pt>
                <c:pt idx="356">
                  <c:v>0.4234637</c:v>
                </c:pt>
                <c:pt idx="357">
                  <c:v>0.30036059999999998</c:v>
                </c:pt>
                <c:pt idx="358">
                  <c:v>0.2449577</c:v>
                </c:pt>
                <c:pt idx="359">
                  <c:v>0.2081182</c:v>
                </c:pt>
                <c:pt idx="360">
                  <c:v>0.23037181041666666</c:v>
                </c:pt>
                <c:pt idx="361">
                  <c:v>0.25262542083333334</c:v>
                </c:pt>
                <c:pt idx="362">
                  <c:v>0.27487903125000002</c:v>
                </c:pt>
                <c:pt idx="363">
                  <c:v>0.2971326416666667</c:v>
                </c:pt>
                <c:pt idx="364">
                  <c:v>0.31938625208333338</c:v>
                </c:pt>
                <c:pt idx="365">
                  <c:v>0.34163986250000006</c:v>
                </c:pt>
                <c:pt idx="366">
                  <c:v>0.36389347291666674</c:v>
                </c:pt>
                <c:pt idx="367">
                  <c:v>0.38614708333333342</c:v>
                </c:pt>
                <c:pt idx="368">
                  <c:v>0.4084006937500001</c:v>
                </c:pt>
                <c:pt idx="369">
                  <c:v>0.43065430416666678</c:v>
                </c:pt>
                <c:pt idx="370">
                  <c:v>0.45290791458333346</c:v>
                </c:pt>
                <c:pt idx="371">
                  <c:v>0.47516152500000014</c:v>
                </c:pt>
                <c:pt idx="372">
                  <c:v>0.49741513541666682</c:v>
                </c:pt>
                <c:pt idx="373">
                  <c:v>0.51966874583333345</c:v>
                </c:pt>
                <c:pt idx="374">
                  <c:v>0.54192235625000007</c:v>
                </c:pt>
                <c:pt idx="375">
                  <c:v>0.5641759666666667</c:v>
                </c:pt>
                <c:pt idx="376">
                  <c:v>0.58642957708333332</c:v>
                </c:pt>
                <c:pt idx="377">
                  <c:v>0.60868318749999994</c:v>
                </c:pt>
                <c:pt idx="378">
                  <c:v>0.63093679791666657</c:v>
                </c:pt>
                <c:pt idx="379">
                  <c:v>0.65319040833333319</c:v>
                </c:pt>
                <c:pt idx="380">
                  <c:v>0.67544401874999982</c:v>
                </c:pt>
                <c:pt idx="381">
                  <c:v>0.69769762916666644</c:v>
                </c:pt>
                <c:pt idx="382">
                  <c:v>0.71995123958333307</c:v>
                </c:pt>
                <c:pt idx="383">
                  <c:v>0.74220484999999969</c:v>
                </c:pt>
                <c:pt idx="384">
                  <c:v>0.76445846041666632</c:v>
                </c:pt>
                <c:pt idx="385">
                  <c:v>0.78671207083333294</c:v>
                </c:pt>
                <c:pt idx="386">
                  <c:v>0.80896568124999957</c:v>
                </c:pt>
                <c:pt idx="387">
                  <c:v>0.83121929166666619</c:v>
                </c:pt>
                <c:pt idx="388">
                  <c:v>0.85347290208333282</c:v>
                </c:pt>
                <c:pt idx="389">
                  <c:v>0.87572651249999944</c:v>
                </c:pt>
                <c:pt idx="390">
                  <c:v>0.89798012291666607</c:v>
                </c:pt>
                <c:pt idx="391">
                  <c:v>0.92023373333333269</c:v>
                </c:pt>
                <c:pt idx="392">
                  <c:v>0.94248734374999932</c:v>
                </c:pt>
                <c:pt idx="393">
                  <c:v>0.96474095416666594</c:v>
                </c:pt>
                <c:pt idx="394">
                  <c:v>0.98699456458333257</c:v>
                </c:pt>
                <c:pt idx="395">
                  <c:v>1.0092481749999993</c:v>
                </c:pt>
                <c:pt idx="396">
                  <c:v>1.0315017854166659</c:v>
                </c:pt>
                <c:pt idx="397">
                  <c:v>0.42538500000000001</c:v>
                </c:pt>
                <c:pt idx="398">
                  <c:v>0.55329790000000001</c:v>
                </c:pt>
                <c:pt idx="399">
                  <c:v>0.67356099999999997</c:v>
                </c:pt>
                <c:pt idx="400">
                  <c:v>0.52149199999999996</c:v>
                </c:pt>
                <c:pt idx="401">
                  <c:v>0.66502019999999995</c:v>
                </c:pt>
                <c:pt idx="402">
                  <c:v>0.51299629999999996</c:v>
                </c:pt>
                <c:pt idx="403">
                  <c:v>0.70591250000000005</c:v>
                </c:pt>
                <c:pt idx="404">
                  <c:v>1.1341649</c:v>
                </c:pt>
                <c:pt idx="405">
                  <c:v>0.86593399999999998</c:v>
                </c:pt>
                <c:pt idx="406">
                  <c:v>0.72913150000000004</c:v>
                </c:pt>
                <c:pt idx="407">
                  <c:v>0.41234300000000002</c:v>
                </c:pt>
                <c:pt idx="408">
                  <c:v>0.58795600000000003</c:v>
                </c:pt>
                <c:pt idx="409">
                  <c:v>0.6886544</c:v>
                </c:pt>
                <c:pt idx="410">
                  <c:v>1.1137724</c:v>
                </c:pt>
                <c:pt idx="411">
                  <c:v>0.89722069999999998</c:v>
                </c:pt>
                <c:pt idx="412">
                  <c:v>1.1709947000000001</c:v>
                </c:pt>
                <c:pt idx="413">
                  <c:v>1.0847608</c:v>
                </c:pt>
                <c:pt idx="414">
                  <c:v>1.1735631</c:v>
                </c:pt>
                <c:pt idx="415">
                  <c:v>1.2050460999999999</c:v>
                </c:pt>
                <c:pt idx="416">
                  <c:v>1.0330462</c:v>
                </c:pt>
                <c:pt idx="417">
                  <c:v>1.02407</c:v>
                </c:pt>
                <c:pt idx="418">
                  <c:v>1.0362800000000001</c:v>
                </c:pt>
                <c:pt idx="419">
                  <c:v>1.34473</c:v>
                </c:pt>
                <c:pt idx="420">
                  <c:v>1.22885</c:v>
                </c:pt>
                <c:pt idx="421">
                  <c:v>0.78571000000000002</c:v>
                </c:pt>
                <c:pt idx="422">
                  <c:v>0.46344000000000002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6-B64F-B748-C467466B17FB}"/>
            </c:ext>
          </c:extLst>
        </c:ser>
        <c:ser>
          <c:idx val="2"/>
          <c:order val="2"/>
          <c:tx>
            <c:strRef>
              <c:f>DATA!$F$15</c:f>
              <c:strCache>
                <c:ptCount val="1"/>
                <c:pt idx="0">
                  <c:v>HP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DATA!$A$16:$A$438</c:f>
              <c:strCache>
                <c:ptCount val="423"/>
                <c:pt idx="0">
                  <c:v>1991-01-31</c:v>
                </c:pt>
                <c:pt idx="1">
                  <c:v>1991-02-28</c:v>
                </c:pt>
                <c:pt idx="2">
                  <c:v>1991-03-31</c:v>
                </c:pt>
                <c:pt idx="3">
                  <c:v>1991-04-30</c:v>
                </c:pt>
                <c:pt idx="4">
                  <c:v>1991-05-31</c:v>
                </c:pt>
                <c:pt idx="5">
                  <c:v>1991-06-30</c:v>
                </c:pt>
                <c:pt idx="6">
                  <c:v>1991-07-31</c:v>
                </c:pt>
                <c:pt idx="7">
                  <c:v>1991-08-31</c:v>
                </c:pt>
                <c:pt idx="8">
                  <c:v>1991-09-30</c:v>
                </c:pt>
                <c:pt idx="9">
                  <c:v>1991-10-31</c:v>
                </c:pt>
                <c:pt idx="10">
                  <c:v>1991-11-30</c:v>
                </c:pt>
                <c:pt idx="11">
                  <c:v>1991-12-31</c:v>
                </c:pt>
                <c:pt idx="12">
                  <c:v>1992-01-31</c:v>
                </c:pt>
                <c:pt idx="13">
                  <c:v>1992-02-29</c:v>
                </c:pt>
                <c:pt idx="14">
                  <c:v>1992-03-31</c:v>
                </c:pt>
                <c:pt idx="15">
                  <c:v>1992-04-30</c:v>
                </c:pt>
                <c:pt idx="16">
                  <c:v>1992-05-31</c:v>
                </c:pt>
                <c:pt idx="17">
                  <c:v>1992-06-30</c:v>
                </c:pt>
                <c:pt idx="18">
                  <c:v>1992-07-31</c:v>
                </c:pt>
                <c:pt idx="19">
                  <c:v>1992-08-31</c:v>
                </c:pt>
                <c:pt idx="20">
                  <c:v>1992-09-30</c:v>
                </c:pt>
                <c:pt idx="21">
                  <c:v>1992-10-31</c:v>
                </c:pt>
                <c:pt idx="22">
                  <c:v>1992-11-30</c:v>
                </c:pt>
                <c:pt idx="23">
                  <c:v>1992-12-31</c:v>
                </c:pt>
                <c:pt idx="24">
                  <c:v>1993-01-31</c:v>
                </c:pt>
                <c:pt idx="25">
                  <c:v>1993-02-28</c:v>
                </c:pt>
                <c:pt idx="26">
                  <c:v>1993-03-31</c:v>
                </c:pt>
                <c:pt idx="27">
                  <c:v>1993-04-30</c:v>
                </c:pt>
                <c:pt idx="28">
                  <c:v>1993-05-31</c:v>
                </c:pt>
                <c:pt idx="29">
                  <c:v>1993-06-30</c:v>
                </c:pt>
                <c:pt idx="30">
                  <c:v>1993-07-31</c:v>
                </c:pt>
                <c:pt idx="31">
                  <c:v>1993-08-31</c:v>
                </c:pt>
                <c:pt idx="32">
                  <c:v>1993-09-30</c:v>
                </c:pt>
                <c:pt idx="33">
                  <c:v>1993-10-31</c:v>
                </c:pt>
                <c:pt idx="34">
                  <c:v>1993-11-30</c:v>
                </c:pt>
                <c:pt idx="35">
                  <c:v>1993-12-31</c:v>
                </c:pt>
                <c:pt idx="36">
                  <c:v>1994-01-31</c:v>
                </c:pt>
                <c:pt idx="37">
                  <c:v>1994-02-28</c:v>
                </c:pt>
                <c:pt idx="38">
                  <c:v>1994-03-31</c:v>
                </c:pt>
                <c:pt idx="39">
                  <c:v>1994-04-30</c:v>
                </c:pt>
                <c:pt idx="40">
                  <c:v>1994-05-31</c:v>
                </c:pt>
                <c:pt idx="41">
                  <c:v>1994-06-30</c:v>
                </c:pt>
                <c:pt idx="42">
                  <c:v>1994-07-31</c:v>
                </c:pt>
                <c:pt idx="43">
                  <c:v>1994-08-31</c:v>
                </c:pt>
                <c:pt idx="44">
                  <c:v>1994-09-30</c:v>
                </c:pt>
                <c:pt idx="45">
                  <c:v>1994-10-31</c:v>
                </c:pt>
                <c:pt idx="46">
                  <c:v>1994-11-30</c:v>
                </c:pt>
                <c:pt idx="47">
                  <c:v>1994-12-31</c:v>
                </c:pt>
                <c:pt idx="48">
                  <c:v>1995-01-31</c:v>
                </c:pt>
                <c:pt idx="49">
                  <c:v>1995-02-28</c:v>
                </c:pt>
                <c:pt idx="50">
                  <c:v>1995-03-31</c:v>
                </c:pt>
                <c:pt idx="51">
                  <c:v>1995-04-30</c:v>
                </c:pt>
                <c:pt idx="52">
                  <c:v>1995-05-31</c:v>
                </c:pt>
                <c:pt idx="53">
                  <c:v>1995-06-30</c:v>
                </c:pt>
                <c:pt idx="54">
                  <c:v>1995-07-31</c:v>
                </c:pt>
                <c:pt idx="55">
                  <c:v>1995-08-31</c:v>
                </c:pt>
                <c:pt idx="56">
                  <c:v>1995-09-30</c:v>
                </c:pt>
                <c:pt idx="57">
                  <c:v>1995-10-31</c:v>
                </c:pt>
                <c:pt idx="58">
                  <c:v>1995-11-30</c:v>
                </c:pt>
                <c:pt idx="59">
                  <c:v>1995-12-31</c:v>
                </c:pt>
                <c:pt idx="60">
                  <c:v>1996-01-31</c:v>
                </c:pt>
                <c:pt idx="61">
                  <c:v>1996-02-29</c:v>
                </c:pt>
                <c:pt idx="62">
                  <c:v>1996-03-31</c:v>
                </c:pt>
                <c:pt idx="63">
                  <c:v>1996-04-30</c:v>
                </c:pt>
                <c:pt idx="64">
                  <c:v>1996-05-31</c:v>
                </c:pt>
                <c:pt idx="65">
                  <c:v>1996-06-30</c:v>
                </c:pt>
                <c:pt idx="66">
                  <c:v>1996-07-31</c:v>
                </c:pt>
                <c:pt idx="67">
                  <c:v>1996-08-31</c:v>
                </c:pt>
                <c:pt idx="68">
                  <c:v>1996-09-30</c:v>
                </c:pt>
                <c:pt idx="69">
                  <c:v>1996-10-31</c:v>
                </c:pt>
                <c:pt idx="70">
                  <c:v>1996-11-30</c:v>
                </c:pt>
                <c:pt idx="71">
                  <c:v>1996-12-31</c:v>
                </c:pt>
                <c:pt idx="72">
                  <c:v>1997-01-31</c:v>
                </c:pt>
                <c:pt idx="73">
                  <c:v>1997-02-28</c:v>
                </c:pt>
                <c:pt idx="74">
                  <c:v>1997-03-31</c:v>
                </c:pt>
                <c:pt idx="75">
                  <c:v>1997-04-30</c:v>
                </c:pt>
                <c:pt idx="76">
                  <c:v>1997-05-31</c:v>
                </c:pt>
                <c:pt idx="77">
                  <c:v>1997-06-30</c:v>
                </c:pt>
                <c:pt idx="78">
                  <c:v>1997-07-31</c:v>
                </c:pt>
                <c:pt idx="79">
                  <c:v>1997-08-31</c:v>
                </c:pt>
                <c:pt idx="80">
                  <c:v>1997-09-30</c:v>
                </c:pt>
                <c:pt idx="81">
                  <c:v>1997-10-31</c:v>
                </c:pt>
                <c:pt idx="82">
                  <c:v>1997-11-30</c:v>
                </c:pt>
                <c:pt idx="83">
                  <c:v>1997-12-31</c:v>
                </c:pt>
                <c:pt idx="84">
                  <c:v>1998-01-31</c:v>
                </c:pt>
                <c:pt idx="85">
                  <c:v>1998-02-28</c:v>
                </c:pt>
                <c:pt idx="86">
                  <c:v>1998-03-31</c:v>
                </c:pt>
                <c:pt idx="87">
                  <c:v>1998-04-30</c:v>
                </c:pt>
                <c:pt idx="88">
                  <c:v>1998-05-31</c:v>
                </c:pt>
                <c:pt idx="89">
                  <c:v>1998-06-30</c:v>
                </c:pt>
                <c:pt idx="90">
                  <c:v>1998-07-31</c:v>
                </c:pt>
                <c:pt idx="91">
                  <c:v>1998-08-31</c:v>
                </c:pt>
                <c:pt idx="92">
                  <c:v>1998-09-30</c:v>
                </c:pt>
                <c:pt idx="93">
                  <c:v>1998-10-31</c:v>
                </c:pt>
                <c:pt idx="94">
                  <c:v>1998-11-30</c:v>
                </c:pt>
                <c:pt idx="95">
                  <c:v>1998-12-31</c:v>
                </c:pt>
                <c:pt idx="96">
                  <c:v>1999-01-31</c:v>
                </c:pt>
                <c:pt idx="97">
                  <c:v>1999-02-28</c:v>
                </c:pt>
                <c:pt idx="98">
                  <c:v>1999-03-31</c:v>
                </c:pt>
                <c:pt idx="99">
                  <c:v>1999-04-30</c:v>
                </c:pt>
                <c:pt idx="100">
                  <c:v>1999-05-31</c:v>
                </c:pt>
                <c:pt idx="101">
                  <c:v>1999-06-30</c:v>
                </c:pt>
                <c:pt idx="102">
                  <c:v>1999-07-31</c:v>
                </c:pt>
                <c:pt idx="103">
                  <c:v>1999-08-31</c:v>
                </c:pt>
                <c:pt idx="104">
                  <c:v>1999-09-30</c:v>
                </c:pt>
                <c:pt idx="105">
                  <c:v>1999-10-31</c:v>
                </c:pt>
                <c:pt idx="106">
                  <c:v>1999-11-30</c:v>
                </c:pt>
                <c:pt idx="107">
                  <c:v>1999-12-31</c:v>
                </c:pt>
                <c:pt idx="108">
                  <c:v>2000-01-31</c:v>
                </c:pt>
                <c:pt idx="109">
                  <c:v>2000-02-29</c:v>
                </c:pt>
                <c:pt idx="110">
                  <c:v>2000-03-31</c:v>
                </c:pt>
                <c:pt idx="111">
                  <c:v>2000-04-30</c:v>
                </c:pt>
                <c:pt idx="112">
                  <c:v>2000-05-31</c:v>
                </c:pt>
                <c:pt idx="113">
                  <c:v>2000-06-30</c:v>
                </c:pt>
                <c:pt idx="114">
                  <c:v>2000-07-31</c:v>
                </c:pt>
                <c:pt idx="115">
                  <c:v>2000-08-31</c:v>
                </c:pt>
                <c:pt idx="116">
                  <c:v>2000-09-30</c:v>
                </c:pt>
                <c:pt idx="117">
                  <c:v>2000-10-31</c:v>
                </c:pt>
                <c:pt idx="118">
                  <c:v>2000-11-30</c:v>
                </c:pt>
                <c:pt idx="119">
                  <c:v>2000-12-31</c:v>
                </c:pt>
                <c:pt idx="120">
                  <c:v>2001-01-31</c:v>
                </c:pt>
                <c:pt idx="121">
                  <c:v>2001-02-28</c:v>
                </c:pt>
                <c:pt idx="122">
                  <c:v>2001-03-31</c:v>
                </c:pt>
                <c:pt idx="123">
                  <c:v>2001-04-30</c:v>
                </c:pt>
                <c:pt idx="124">
                  <c:v>2001-05-31</c:v>
                </c:pt>
                <c:pt idx="125">
                  <c:v>2001-06-30</c:v>
                </c:pt>
                <c:pt idx="126">
                  <c:v>2001-07-31</c:v>
                </c:pt>
                <c:pt idx="127">
                  <c:v>2001-08-31</c:v>
                </c:pt>
                <c:pt idx="128">
                  <c:v>2001-09-30</c:v>
                </c:pt>
                <c:pt idx="129">
                  <c:v>2001-10-31</c:v>
                </c:pt>
                <c:pt idx="130">
                  <c:v>2001-11-30</c:v>
                </c:pt>
                <c:pt idx="131">
                  <c:v>2001-12-31</c:v>
                </c:pt>
                <c:pt idx="132">
                  <c:v>2002-01-31</c:v>
                </c:pt>
                <c:pt idx="133">
                  <c:v>2002-02-28</c:v>
                </c:pt>
                <c:pt idx="134">
                  <c:v>2002-03-31</c:v>
                </c:pt>
                <c:pt idx="135">
                  <c:v>2002-04-30</c:v>
                </c:pt>
                <c:pt idx="136">
                  <c:v>2002-05-31</c:v>
                </c:pt>
                <c:pt idx="137">
                  <c:v>2002-06-30</c:v>
                </c:pt>
                <c:pt idx="138">
                  <c:v>2002-07-31</c:v>
                </c:pt>
                <c:pt idx="139">
                  <c:v>2002-08-31</c:v>
                </c:pt>
                <c:pt idx="140">
                  <c:v>2002-09-30</c:v>
                </c:pt>
                <c:pt idx="141">
                  <c:v>2002-10-31</c:v>
                </c:pt>
                <c:pt idx="142">
                  <c:v>2002-11-30</c:v>
                </c:pt>
                <c:pt idx="143">
                  <c:v>2002-12-31</c:v>
                </c:pt>
                <c:pt idx="144">
                  <c:v>2003-01-31</c:v>
                </c:pt>
                <c:pt idx="145">
                  <c:v>2003-02-28</c:v>
                </c:pt>
                <c:pt idx="146">
                  <c:v>2003-03-31</c:v>
                </c:pt>
                <c:pt idx="147">
                  <c:v>2003-04-30</c:v>
                </c:pt>
                <c:pt idx="148">
                  <c:v>2003-05-31</c:v>
                </c:pt>
                <c:pt idx="149">
                  <c:v>2003-06-30</c:v>
                </c:pt>
                <c:pt idx="150">
                  <c:v>2003-07-31</c:v>
                </c:pt>
                <c:pt idx="151">
                  <c:v>2003-08-31</c:v>
                </c:pt>
                <c:pt idx="152">
                  <c:v>2003-09-30</c:v>
                </c:pt>
                <c:pt idx="153">
                  <c:v>2003-10-31</c:v>
                </c:pt>
                <c:pt idx="154">
                  <c:v>2003-11-30</c:v>
                </c:pt>
                <c:pt idx="155">
                  <c:v>2003-12-31</c:v>
                </c:pt>
                <c:pt idx="156">
                  <c:v>2004-01-31</c:v>
                </c:pt>
                <c:pt idx="157">
                  <c:v>2004-02-29</c:v>
                </c:pt>
                <c:pt idx="158">
                  <c:v>2004-03-31</c:v>
                </c:pt>
                <c:pt idx="159">
                  <c:v>2004-04-30</c:v>
                </c:pt>
                <c:pt idx="160">
                  <c:v>2004-05-31</c:v>
                </c:pt>
                <c:pt idx="161">
                  <c:v>2004-06-30</c:v>
                </c:pt>
                <c:pt idx="162">
                  <c:v>2004-07-31</c:v>
                </c:pt>
                <c:pt idx="163">
                  <c:v>2004-08-31</c:v>
                </c:pt>
                <c:pt idx="164">
                  <c:v>2004-09-30</c:v>
                </c:pt>
                <c:pt idx="165">
                  <c:v>2004-10-31</c:v>
                </c:pt>
                <c:pt idx="166">
                  <c:v>2004-11-30</c:v>
                </c:pt>
                <c:pt idx="167">
                  <c:v>2004-12-31</c:v>
                </c:pt>
                <c:pt idx="168">
                  <c:v>2005-01-31</c:v>
                </c:pt>
                <c:pt idx="169">
                  <c:v>2005-02-28</c:v>
                </c:pt>
                <c:pt idx="170">
                  <c:v>2005-03-31</c:v>
                </c:pt>
                <c:pt idx="171">
                  <c:v>2005-04-30</c:v>
                </c:pt>
                <c:pt idx="172">
                  <c:v>2005-05-31</c:v>
                </c:pt>
                <c:pt idx="173">
                  <c:v>2005-06-30</c:v>
                </c:pt>
                <c:pt idx="174">
                  <c:v>2005-07-31</c:v>
                </c:pt>
                <c:pt idx="175">
                  <c:v>2005-08-31</c:v>
                </c:pt>
                <c:pt idx="176">
                  <c:v>2005-09-30</c:v>
                </c:pt>
                <c:pt idx="177">
                  <c:v>2005-10-31</c:v>
                </c:pt>
                <c:pt idx="178">
                  <c:v>2005-11-30</c:v>
                </c:pt>
                <c:pt idx="179">
                  <c:v>2005-12-31</c:v>
                </c:pt>
                <c:pt idx="180">
                  <c:v>2006-01-31</c:v>
                </c:pt>
                <c:pt idx="181">
                  <c:v>2006-02-28</c:v>
                </c:pt>
                <c:pt idx="182">
                  <c:v>2006-03-31</c:v>
                </c:pt>
                <c:pt idx="183">
                  <c:v>2006-04-30</c:v>
                </c:pt>
                <c:pt idx="184">
                  <c:v>2006-05-31</c:v>
                </c:pt>
                <c:pt idx="185">
                  <c:v>2006-06-30</c:v>
                </c:pt>
                <c:pt idx="186">
                  <c:v>2006-07-31</c:v>
                </c:pt>
                <c:pt idx="187">
                  <c:v>2006-08-31</c:v>
                </c:pt>
                <c:pt idx="188">
                  <c:v>2006-09-30</c:v>
                </c:pt>
                <c:pt idx="189">
                  <c:v>2006-10-31</c:v>
                </c:pt>
                <c:pt idx="190">
                  <c:v>2006-11-30</c:v>
                </c:pt>
                <c:pt idx="191">
                  <c:v>2006-12-31</c:v>
                </c:pt>
                <c:pt idx="192">
                  <c:v>2007-01-31</c:v>
                </c:pt>
                <c:pt idx="193">
                  <c:v>2007-02-28</c:v>
                </c:pt>
                <c:pt idx="194">
                  <c:v>2007-03-31</c:v>
                </c:pt>
                <c:pt idx="195">
                  <c:v>2007-04-30</c:v>
                </c:pt>
                <c:pt idx="196">
                  <c:v>2007-05-31</c:v>
                </c:pt>
                <c:pt idx="197">
                  <c:v>2007-06-30</c:v>
                </c:pt>
                <c:pt idx="198">
                  <c:v>2007-07-31</c:v>
                </c:pt>
                <c:pt idx="199">
                  <c:v>2007-08-31</c:v>
                </c:pt>
                <c:pt idx="200">
                  <c:v>2007-09-30</c:v>
                </c:pt>
                <c:pt idx="201">
                  <c:v>2007-10-31</c:v>
                </c:pt>
                <c:pt idx="202">
                  <c:v>2007-11-30</c:v>
                </c:pt>
                <c:pt idx="203">
                  <c:v>2007-12-31</c:v>
                </c:pt>
                <c:pt idx="204">
                  <c:v>2008-01-31</c:v>
                </c:pt>
                <c:pt idx="205">
                  <c:v>2008-02-29</c:v>
                </c:pt>
                <c:pt idx="206">
                  <c:v>2008-03-31</c:v>
                </c:pt>
                <c:pt idx="207">
                  <c:v>2008-04-30</c:v>
                </c:pt>
                <c:pt idx="208">
                  <c:v>2008-05-31</c:v>
                </c:pt>
                <c:pt idx="209">
                  <c:v>2008-06-30</c:v>
                </c:pt>
                <c:pt idx="210">
                  <c:v>2008-07-31</c:v>
                </c:pt>
                <c:pt idx="211">
                  <c:v>2008-08-31</c:v>
                </c:pt>
                <c:pt idx="212">
                  <c:v>2008-09-30</c:v>
                </c:pt>
                <c:pt idx="213">
                  <c:v>2008-10-31</c:v>
                </c:pt>
                <c:pt idx="214">
                  <c:v>2008-11-30</c:v>
                </c:pt>
                <c:pt idx="215">
                  <c:v>2008-12-31</c:v>
                </c:pt>
                <c:pt idx="216">
                  <c:v>2009-01-31</c:v>
                </c:pt>
                <c:pt idx="217">
                  <c:v>2009-02-28</c:v>
                </c:pt>
                <c:pt idx="218">
                  <c:v>2009-03-31</c:v>
                </c:pt>
                <c:pt idx="219">
                  <c:v>2009-04-30</c:v>
                </c:pt>
                <c:pt idx="220">
                  <c:v>2009-05-31</c:v>
                </c:pt>
                <c:pt idx="221">
                  <c:v>2009-06-30</c:v>
                </c:pt>
                <c:pt idx="222">
                  <c:v>2009-07-31</c:v>
                </c:pt>
                <c:pt idx="223">
                  <c:v>2009-08-31</c:v>
                </c:pt>
                <c:pt idx="224">
                  <c:v>2009-09-30</c:v>
                </c:pt>
                <c:pt idx="225">
                  <c:v>2009-10-31</c:v>
                </c:pt>
                <c:pt idx="226">
                  <c:v>2009-11-30</c:v>
                </c:pt>
                <c:pt idx="227">
                  <c:v>2009-12-31</c:v>
                </c:pt>
                <c:pt idx="228">
                  <c:v>2010-01-31</c:v>
                </c:pt>
                <c:pt idx="229">
                  <c:v>2010-02-28</c:v>
                </c:pt>
                <c:pt idx="230">
                  <c:v>2010-03-31</c:v>
                </c:pt>
                <c:pt idx="231">
                  <c:v>2010-04-30</c:v>
                </c:pt>
                <c:pt idx="232">
                  <c:v>2010-05-31</c:v>
                </c:pt>
                <c:pt idx="233">
                  <c:v>2010-06-30</c:v>
                </c:pt>
                <c:pt idx="234">
                  <c:v>2010-07-31</c:v>
                </c:pt>
                <c:pt idx="235">
                  <c:v>2010-08-31</c:v>
                </c:pt>
                <c:pt idx="236">
                  <c:v>2010-09-30</c:v>
                </c:pt>
                <c:pt idx="237">
                  <c:v>2010-10-31</c:v>
                </c:pt>
                <c:pt idx="238">
                  <c:v>2010-11-30</c:v>
                </c:pt>
                <c:pt idx="239">
                  <c:v>2010-12-31</c:v>
                </c:pt>
                <c:pt idx="240">
                  <c:v>2011-01-31</c:v>
                </c:pt>
                <c:pt idx="241">
                  <c:v>2011-02-28</c:v>
                </c:pt>
                <c:pt idx="242">
                  <c:v>2011-03-31</c:v>
                </c:pt>
                <c:pt idx="243">
                  <c:v>2011-04-30</c:v>
                </c:pt>
                <c:pt idx="244">
                  <c:v>2011-05-31</c:v>
                </c:pt>
                <c:pt idx="245">
                  <c:v>2011-06-30</c:v>
                </c:pt>
                <c:pt idx="246">
                  <c:v>2011-07-31</c:v>
                </c:pt>
                <c:pt idx="247">
                  <c:v>2011-08-31</c:v>
                </c:pt>
                <c:pt idx="248">
                  <c:v>2011-09-30</c:v>
                </c:pt>
                <c:pt idx="249">
                  <c:v>2011-10-31</c:v>
                </c:pt>
                <c:pt idx="250">
                  <c:v>2011-11-30</c:v>
                </c:pt>
                <c:pt idx="251">
                  <c:v>2011-12-31</c:v>
                </c:pt>
                <c:pt idx="252">
                  <c:v>2012-01-31</c:v>
                </c:pt>
                <c:pt idx="253">
                  <c:v>2012-02-29</c:v>
                </c:pt>
                <c:pt idx="254">
                  <c:v>2012-03-31</c:v>
                </c:pt>
                <c:pt idx="255">
                  <c:v>2012-04-30</c:v>
                </c:pt>
                <c:pt idx="256">
                  <c:v>2012-05-31</c:v>
                </c:pt>
                <c:pt idx="257">
                  <c:v>2012-06-30</c:v>
                </c:pt>
                <c:pt idx="258">
                  <c:v>2012-07-31</c:v>
                </c:pt>
                <c:pt idx="259">
                  <c:v>2012-08-31</c:v>
                </c:pt>
                <c:pt idx="260">
                  <c:v>2012-09-30</c:v>
                </c:pt>
                <c:pt idx="261">
                  <c:v>2012-10-31</c:v>
                </c:pt>
                <c:pt idx="262">
                  <c:v>2012-11-30</c:v>
                </c:pt>
                <c:pt idx="263">
                  <c:v>2012-12-31</c:v>
                </c:pt>
                <c:pt idx="264">
                  <c:v>2013-01-31</c:v>
                </c:pt>
                <c:pt idx="265">
                  <c:v>2013-02-28</c:v>
                </c:pt>
                <c:pt idx="266">
                  <c:v>2013-03-31</c:v>
                </c:pt>
                <c:pt idx="267">
                  <c:v>2013-04-30</c:v>
                </c:pt>
                <c:pt idx="268">
                  <c:v>2013-05-31</c:v>
                </c:pt>
                <c:pt idx="269">
                  <c:v>2013-06-30</c:v>
                </c:pt>
                <c:pt idx="270">
                  <c:v>2013-07-31</c:v>
                </c:pt>
                <c:pt idx="271">
                  <c:v>2013-08-31</c:v>
                </c:pt>
                <c:pt idx="272">
                  <c:v>2013-09-30</c:v>
                </c:pt>
                <c:pt idx="273">
                  <c:v>2013-10-31</c:v>
                </c:pt>
                <c:pt idx="274">
                  <c:v>2013-11-30</c:v>
                </c:pt>
                <c:pt idx="275">
                  <c:v>2013-12-31</c:v>
                </c:pt>
                <c:pt idx="276">
                  <c:v>2014-01-31</c:v>
                </c:pt>
                <c:pt idx="277">
                  <c:v>2014-02-28</c:v>
                </c:pt>
                <c:pt idx="278">
                  <c:v>2014-03-31</c:v>
                </c:pt>
                <c:pt idx="279">
                  <c:v>2014-04-30</c:v>
                </c:pt>
                <c:pt idx="280">
                  <c:v>2014-05-31</c:v>
                </c:pt>
                <c:pt idx="281">
                  <c:v>2014-06-30</c:v>
                </c:pt>
                <c:pt idx="282">
                  <c:v>2014-07-31</c:v>
                </c:pt>
                <c:pt idx="283">
                  <c:v>2014-08-31</c:v>
                </c:pt>
                <c:pt idx="284">
                  <c:v>2014-09-30</c:v>
                </c:pt>
                <c:pt idx="285">
                  <c:v>2014-10-31</c:v>
                </c:pt>
                <c:pt idx="286">
                  <c:v>2014-11-30</c:v>
                </c:pt>
                <c:pt idx="287">
                  <c:v>2014-12-31</c:v>
                </c:pt>
                <c:pt idx="288">
                  <c:v>2015-01-31</c:v>
                </c:pt>
                <c:pt idx="289">
                  <c:v>2015-02-28</c:v>
                </c:pt>
                <c:pt idx="290">
                  <c:v>2015-03-31</c:v>
                </c:pt>
                <c:pt idx="291">
                  <c:v>2015-04-30</c:v>
                </c:pt>
                <c:pt idx="292">
                  <c:v>2015-05-31</c:v>
                </c:pt>
                <c:pt idx="293">
                  <c:v>2015-06-30</c:v>
                </c:pt>
                <c:pt idx="294">
                  <c:v>2015-07-31</c:v>
                </c:pt>
                <c:pt idx="295">
                  <c:v>2015-08-31</c:v>
                </c:pt>
                <c:pt idx="296">
                  <c:v>2015-09-30</c:v>
                </c:pt>
                <c:pt idx="297">
                  <c:v>2015-10-31</c:v>
                </c:pt>
                <c:pt idx="298">
                  <c:v>2015-11-30</c:v>
                </c:pt>
                <c:pt idx="299">
                  <c:v>2015-12-31</c:v>
                </c:pt>
                <c:pt idx="300">
                  <c:v>2016-01-31</c:v>
                </c:pt>
                <c:pt idx="301">
                  <c:v>2016-02-29</c:v>
                </c:pt>
                <c:pt idx="302">
                  <c:v>2016-03-31</c:v>
                </c:pt>
                <c:pt idx="303">
                  <c:v>2016-04-30</c:v>
                </c:pt>
                <c:pt idx="304">
                  <c:v>2016-05-31</c:v>
                </c:pt>
                <c:pt idx="305">
                  <c:v>2016-06-30</c:v>
                </c:pt>
                <c:pt idx="306">
                  <c:v>2016-07-31</c:v>
                </c:pt>
                <c:pt idx="307">
                  <c:v>2016-08-31</c:v>
                </c:pt>
                <c:pt idx="308">
                  <c:v>2016-09-30</c:v>
                </c:pt>
                <c:pt idx="309">
                  <c:v>2016-10-31</c:v>
                </c:pt>
                <c:pt idx="310">
                  <c:v>2016-11-30</c:v>
                </c:pt>
                <c:pt idx="311">
                  <c:v>2016-12-31</c:v>
                </c:pt>
                <c:pt idx="312">
                  <c:v>2017-01-31</c:v>
                </c:pt>
                <c:pt idx="313">
                  <c:v>2017-02-28</c:v>
                </c:pt>
                <c:pt idx="314">
                  <c:v>2017-03-31</c:v>
                </c:pt>
                <c:pt idx="315">
                  <c:v>2017-04-30</c:v>
                </c:pt>
                <c:pt idx="316">
                  <c:v>2017-05-31</c:v>
                </c:pt>
                <c:pt idx="317">
                  <c:v>2017-06-30</c:v>
                </c:pt>
                <c:pt idx="318">
                  <c:v>2017-07-31</c:v>
                </c:pt>
                <c:pt idx="319">
                  <c:v>2017-08-31</c:v>
                </c:pt>
                <c:pt idx="320">
                  <c:v>2017-09-30</c:v>
                </c:pt>
                <c:pt idx="321">
                  <c:v>2017-10-31</c:v>
                </c:pt>
                <c:pt idx="322">
                  <c:v>2017-11-30</c:v>
                </c:pt>
                <c:pt idx="323">
                  <c:v>2017-12-31</c:v>
                </c:pt>
                <c:pt idx="324">
                  <c:v>2018-01-31</c:v>
                </c:pt>
                <c:pt idx="325">
                  <c:v>2018-02-28</c:v>
                </c:pt>
                <c:pt idx="326">
                  <c:v>2018-03-31</c:v>
                </c:pt>
                <c:pt idx="327">
                  <c:v>2018-04-30</c:v>
                </c:pt>
                <c:pt idx="328">
                  <c:v>2018-05-31</c:v>
                </c:pt>
                <c:pt idx="329">
                  <c:v>2018-06-30</c:v>
                </c:pt>
                <c:pt idx="330">
                  <c:v>2018-07-31</c:v>
                </c:pt>
                <c:pt idx="331">
                  <c:v>2018-08-31</c:v>
                </c:pt>
                <c:pt idx="332">
                  <c:v>2018-09-30</c:v>
                </c:pt>
                <c:pt idx="333">
                  <c:v>2018-10-31</c:v>
                </c:pt>
                <c:pt idx="334">
                  <c:v>2018-11-30</c:v>
                </c:pt>
                <c:pt idx="335">
                  <c:v>2018-12-31</c:v>
                </c:pt>
                <c:pt idx="336">
                  <c:v>2019-01-31</c:v>
                </c:pt>
                <c:pt idx="337">
                  <c:v>2019-02-28</c:v>
                </c:pt>
                <c:pt idx="338">
                  <c:v>2019-03-31</c:v>
                </c:pt>
                <c:pt idx="339">
                  <c:v>2019-04-30</c:v>
                </c:pt>
                <c:pt idx="340">
                  <c:v>2019-05-31</c:v>
                </c:pt>
                <c:pt idx="341">
                  <c:v>2019-06-30</c:v>
                </c:pt>
                <c:pt idx="342">
                  <c:v>2019-07-31</c:v>
                </c:pt>
                <c:pt idx="343">
                  <c:v>2019-08-31</c:v>
                </c:pt>
                <c:pt idx="344">
                  <c:v>2019-09-30</c:v>
                </c:pt>
                <c:pt idx="345">
                  <c:v>2019-10-31</c:v>
                </c:pt>
                <c:pt idx="346">
                  <c:v>2019-11-30</c:v>
                </c:pt>
                <c:pt idx="347">
                  <c:v>2019-12-31</c:v>
                </c:pt>
                <c:pt idx="348">
                  <c:v>2020-01-31</c:v>
                </c:pt>
                <c:pt idx="349">
                  <c:v>2020-02-29</c:v>
                </c:pt>
                <c:pt idx="350">
                  <c:v>2020-03-31</c:v>
                </c:pt>
                <c:pt idx="351">
                  <c:v>2020-04-30</c:v>
                </c:pt>
                <c:pt idx="352">
                  <c:v>2020-05-31</c:v>
                </c:pt>
                <c:pt idx="353">
                  <c:v>2020-06-30</c:v>
                </c:pt>
                <c:pt idx="354">
                  <c:v>2020-07-31</c:v>
                </c:pt>
                <c:pt idx="355">
                  <c:v>2020-08-31</c:v>
                </c:pt>
                <c:pt idx="356">
                  <c:v>2020-09-30</c:v>
                </c:pt>
                <c:pt idx="357">
                  <c:v>2020-10-31</c:v>
                </c:pt>
                <c:pt idx="358">
                  <c:v>2020-11-30</c:v>
                </c:pt>
                <c:pt idx="359">
                  <c:v>2020-12-31</c:v>
                </c:pt>
                <c:pt idx="360">
                  <c:v>2021-01-31</c:v>
                </c:pt>
                <c:pt idx="361">
                  <c:v>2021-02-28</c:v>
                </c:pt>
                <c:pt idx="362">
                  <c:v>2021-03-31</c:v>
                </c:pt>
                <c:pt idx="363">
                  <c:v>2021-04-30</c:v>
                </c:pt>
                <c:pt idx="364">
                  <c:v>2021-05-31</c:v>
                </c:pt>
                <c:pt idx="365">
                  <c:v>2021-06-30</c:v>
                </c:pt>
                <c:pt idx="366">
                  <c:v>2021-07-31</c:v>
                </c:pt>
                <c:pt idx="367">
                  <c:v>2021-08-31</c:v>
                </c:pt>
                <c:pt idx="368">
                  <c:v>2021-09-30</c:v>
                </c:pt>
                <c:pt idx="369">
                  <c:v>2021-10-31</c:v>
                </c:pt>
                <c:pt idx="370">
                  <c:v>2021-11-30</c:v>
                </c:pt>
                <c:pt idx="371">
                  <c:v>2021-12-31</c:v>
                </c:pt>
                <c:pt idx="372">
                  <c:v>2022-01-31</c:v>
                </c:pt>
                <c:pt idx="373">
                  <c:v>2022-02-28</c:v>
                </c:pt>
                <c:pt idx="374">
                  <c:v>2022-03-31</c:v>
                </c:pt>
                <c:pt idx="375">
                  <c:v>2022-04-30</c:v>
                </c:pt>
                <c:pt idx="376">
                  <c:v>2022-05-31</c:v>
                </c:pt>
                <c:pt idx="377">
                  <c:v>2022-06-30</c:v>
                </c:pt>
                <c:pt idx="378">
                  <c:v>2022-07-31</c:v>
                </c:pt>
                <c:pt idx="379">
                  <c:v>2022-08-31</c:v>
                </c:pt>
                <c:pt idx="380">
                  <c:v>2022-09-30</c:v>
                </c:pt>
                <c:pt idx="381">
                  <c:v>2022-10-31</c:v>
                </c:pt>
                <c:pt idx="382">
                  <c:v>2022-11-30</c:v>
                </c:pt>
                <c:pt idx="383">
                  <c:v>2022-12-31</c:v>
                </c:pt>
                <c:pt idx="384">
                  <c:v>2023-01-31</c:v>
                </c:pt>
                <c:pt idx="385">
                  <c:v>2023-02-28</c:v>
                </c:pt>
                <c:pt idx="386">
                  <c:v>2023-03-31</c:v>
                </c:pt>
                <c:pt idx="387">
                  <c:v>2023-04-30</c:v>
                </c:pt>
                <c:pt idx="388">
                  <c:v>2023-05-31</c:v>
                </c:pt>
                <c:pt idx="389">
                  <c:v>2023-06-30</c:v>
                </c:pt>
                <c:pt idx="390">
                  <c:v>2023-07-31</c:v>
                </c:pt>
                <c:pt idx="391">
                  <c:v>2023-08-31</c:v>
                </c:pt>
                <c:pt idx="392">
                  <c:v>2023-09-30</c:v>
                </c:pt>
                <c:pt idx="393">
                  <c:v>2023-10-31</c:v>
                </c:pt>
                <c:pt idx="394">
                  <c:v>2023-11-30</c:v>
                </c:pt>
                <c:pt idx="395">
                  <c:v>2023-12-31</c:v>
                </c:pt>
                <c:pt idx="396">
                  <c:v>2024-01-31</c:v>
                </c:pt>
                <c:pt idx="397">
                  <c:v>2024-02-29</c:v>
                </c:pt>
                <c:pt idx="398">
                  <c:v>2024-03-31</c:v>
                </c:pt>
                <c:pt idx="399">
                  <c:v>2024-04-30</c:v>
                </c:pt>
                <c:pt idx="400">
                  <c:v>2024-05-31</c:v>
                </c:pt>
                <c:pt idx="401">
                  <c:v>2024-06-30</c:v>
                </c:pt>
                <c:pt idx="402">
                  <c:v>2024-07-31</c:v>
                </c:pt>
                <c:pt idx="403">
                  <c:v>2024-08-31</c:v>
                </c:pt>
                <c:pt idx="404">
                  <c:v>2024-09-30</c:v>
                </c:pt>
                <c:pt idx="405">
                  <c:v>2024-10-31</c:v>
                </c:pt>
                <c:pt idx="406">
                  <c:v>2024-11-30</c:v>
                </c:pt>
                <c:pt idx="407">
                  <c:v>2024-12-31</c:v>
                </c:pt>
                <c:pt idx="408">
                  <c:v>2025-01-31</c:v>
                </c:pt>
                <c:pt idx="409">
                  <c:v>2025-02-28</c:v>
                </c:pt>
                <c:pt idx="410">
                  <c:v>2025-03-31</c:v>
                </c:pt>
                <c:pt idx="411">
                  <c:v>2025-04-30</c:v>
                </c:pt>
                <c:pt idx="412">
                  <c:v>2025-05-31</c:v>
                </c:pt>
                <c:pt idx="413">
                  <c:v>2025-06-30</c:v>
                </c:pt>
                <c:pt idx="414">
                  <c:v>2025-07-31</c:v>
                </c:pt>
                <c:pt idx="415">
                  <c:v>2025-08-31</c:v>
                </c:pt>
                <c:pt idx="416">
                  <c:v>2025-09-30</c:v>
                </c:pt>
                <c:pt idx="417">
                  <c:v>2025-10-31</c:v>
                </c:pt>
                <c:pt idx="418">
                  <c:v>2025-11-30</c:v>
                </c:pt>
                <c:pt idx="419">
                  <c:v>2025-12-31</c:v>
                </c:pt>
                <c:pt idx="420">
                  <c:v>2026-02-28</c:v>
                </c:pt>
                <c:pt idx="421">
                  <c:v>2026-03-31</c:v>
                </c:pt>
                <c:pt idx="422">
                  <c:v>2026-04-30</c:v>
                </c:pt>
              </c:strCache>
            </c:strRef>
          </c:cat>
          <c:val>
            <c:numRef>
              <c:f>DATA!$F$16:$F$438</c:f>
              <c:numCache>
                <c:formatCode>General</c:formatCode>
                <c:ptCount val="423"/>
                <c:pt idx="0">
                  <c:v>6.2020540397866322</c:v>
                </c:pt>
                <c:pt idx="1">
                  <c:v>6.1877049401930559</c:v>
                </c:pt>
                <c:pt idx="2">
                  <c:v>6.173361572281272</c:v>
                </c:pt>
                <c:pt idx="3">
                  <c:v>6.159030852648657</c:v>
                </c:pt>
                <c:pt idx="4">
                  <c:v>6.1447220057508263</c:v>
                </c:pt>
                <c:pt idx="5">
                  <c:v>6.1304454777189132</c:v>
                </c:pt>
                <c:pt idx="6">
                  <c:v>6.1162097143367857</c:v>
                </c:pt>
                <c:pt idx="7">
                  <c:v>6.1020202469170322</c:v>
                </c:pt>
                <c:pt idx="8">
                  <c:v>6.087875727144815</c:v>
                </c:pt>
                <c:pt idx="9">
                  <c:v>6.0737717177373405</c:v>
                </c:pt>
                <c:pt idx="10">
                  <c:v>6.0597038910126866</c:v>
                </c:pt>
                <c:pt idx="11">
                  <c:v>6.0456686763049987</c:v>
                </c:pt>
                <c:pt idx="12">
                  <c:v>6.0316606404183997</c:v>
                </c:pt>
                <c:pt idx="13">
                  <c:v>6.0176723953446949</c:v>
                </c:pt>
                <c:pt idx="14">
                  <c:v>6.0036940818516129</c:v>
                </c:pt>
                <c:pt idx="15">
                  <c:v>5.9897137521158683</c:v>
                </c:pt>
                <c:pt idx="16">
                  <c:v>5.9757138834601502</c:v>
                </c:pt>
                <c:pt idx="17">
                  <c:v>5.9616725812569005</c:v>
                </c:pt>
                <c:pt idx="18">
                  <c:v>5.9475648948763737</c:v>
                </c:pt>
                <c:pt idx="19">
                  <c:v>5.9333655941627352</c:v>
                </c:pt>
                <c:pt idx="20">
                  <c:v>5.9190555101106543</c:v>
                </c:pt>
                <c:pt idx="21">
                  <c:v>5.9046221712024991</c:v>
                </c:pt>
                <c:pt idx="22">
                  <c:v>5.8900593003997246</c:v>
                </c:pt>
                <c:pt idx="23">
                  <c:v>5.8753692616192552</c:v>
                </c:pt>
                <c:pt idx="24">
                  <c:v>5.8605612956352653</c:v>
                </c:pt>
                <c:pt idx="25">
                  <c:v>5.8456512592075631</c:v>
                </c:pt>
                <c:pt idx="26">
                  <c:v>5.8306584206986125</c:v>
                </c:pt>
                <c:pt idx="27">
                  <c:v>5.8156032628670262</c:v>
                </c:pt>
                <c:pt idx="28">
                  <c:v>5.8005071567706388</c:v>
                </c:pt>
                <c:pt idx="29">
                  <c:v>5.7853925558803807</c:v>
                </c:pt>
                <c:pt idx="30">
                  <c:v>5.770283007701468</c:v>
                </c:pt>
                <c:pt idx="31">
                  <c:v>5.7552012436160016</c:v>
                </c:pt>
                <c:pt idx="32">
                  <c:v>5.7401648371742313</c:v>
                </c:pt>
                <c:pt idx="33">
                  <c:v>5.7251826006745281</c:v>
                </c:pt>
                <c:pt idx="34">
                  <c:v>5.7102523266248522</c:v>
                </c:pt>
                <c:pt idx="35">
                  <c:v>5.6953589701519869</c:v>
                </c:pt>
                <c:pt idx="36">
                  <c:v>5.6804756837876038</c:v>
                </c:pt>
                <c:pt idx="37">
                  <c:v>5.6655624249941603</c:v>
                </c:pt>
                <c:pt idx="38">
                  <c:v>5.6505645642303817</c:v>
                </c:pt>
                <c:pt idx="39">
                  <c:v>5.635414466072084</c:v>
                </c:pt>
                <c:pt idx="40">
                  <c:v>5.6200360030845555</c:v>
                </c:pt>
                <c:pt idx="41">
                  <c:v>5.6043462930918349</c:v>
                </c:pt>
                <c:pt idx="42">
                  <c:v>5.5882572838870717</c:v>
                </c:pt>
                <c:pt idx="43">
                  <c:v>5.5716814298506581</c:v>
                </c:pt>
                <c:pt idx="44">
                  <c:v>5.5545327420197479</c:v>
                </c:pt>
                <c:pt idx="45">
                  <c:v>5.5367283820377464</c:v>
                </c:pt>
                <c:pt idx="46">
                  <c:v>5.5181921895361601</c:v>
                </c:pt>
                <c:pt idx="47">
                  <c:v>5.4988558997608328</c:v>
                </c:pt>
                <c:pt idx="48">
                  <c:v>5.4786597495610838</c:v>
                </c:pt>
                <c:pt idx="49">
                  <c:v>5.4575520093055241</c:v>
                </c:pt>
                <c:pt idx="50">
                  <c:v>5.4354922251363016</c:v>
                </c:pt>
                <c:pt idx="51">
                  <c:v>5.4124502244300619</c:v>
                </c:pt>
                <c:pt idx="52">
                  <c:v>5.3884073662592415</c:v>
                </c:pt>
                <c:pt idx="53">
                  <c:v>5.3633546358519562</c:v>
                </c:pt>
                <c:pt idx="54">
                  <c:v>5.337290669614049</c:v>
                </c:pt>
                <c:pt idx="55">
                  <c:v>5.3102201737458392</c:v>
                </c:pt>
                <c:pt idx="56">
                  <c:v>5.282155359920873</c:v>
                </c:pt>
                <c:pt idx="57">
                  <c:v>5.2531150739162928</c:v>
                </c:pt>
                <c:pt idx="58">
                  <c:v>5.2231233917919591</c:v>
                </c:pt>
                <c:pt idx="59">
                  <c:v>5.1922107698926547</c:v>
                </c:pt>
                <c:pt idx="60">
                  <c:v>5.1604118071295844</c:v>
                </c:pt>
                <c:pt idx="61">
                  <c:v>5.1277628600468983</c:v>
                </c:pt>
                <c:pt idx="62">
                  <c:v>5.0942993560852994</c:v>
                </c:pt>
                <c:pt idx="63">
                  <c:v>5.0600577430337923</c:v>
                </c:pt>
                <c:pt idx="64">
                  <c:v>5.0250770589641283</c:v>
                </c:pt>
                <c:pt idx="65">
                  <c:v>4.9893975760704112</c:v>
                </c:pt>
                <c:pt idx="66">
                  <c:v>4.9530592187299334</c:v>
                </c:pt>
                <c:pt idx="67">
                  <c:v>4.9161051567090608</c:v>
                </c:pt>
                <c:pt idx="68">
                  <c:v>4.8785811596258668</c:v>
                </c:pt>
                <c:pt idx="69">
                  <c:v>4.8405360364104864</c:v>
                </c:pt>
                <c:pt idx="70">
                  <c:v>4.8020205359532424</c:v>
                </c:pt>
                <c:pt idx="71">
                  <c:v>4.7630841684404741</c:v>
                </c:pt>
                <c:pt idx="72">
                  <c:v>4.7237743451346299</c:v>
                </c:pt>
                <c:pt idx="73">
                  <c:v>4.6841357528832788</c:v>
                </c:pt>
                <c:pt idx="74">
                  <c:v>4.6442092685467582</c:v>
                </c:pt>
                <c:pt idx="75">
                  <c:v>4.6040324963329908</c:v>
                </c:pt>
                <c:pt idx="76">
                  <c:v>4.5636436252549277</c:v>
                </c:pt>
                <c:pt idx="77">
                  <c:v>4.5230845940747759</c:v>
                </c:pt>
                <c:pt idx="78">
                  <c:v>4.482399010971216</c:v>
                </c:pt>
                <c:pt idx="79">
                  <c:v>4.4416317720504424</c:v>
                </c:pt>
                <c:pt idx="80">
                  <c:v>4.4008265975003562</c:v>
                </c:pt>
                <c:pt idx="81">
                  <c:v>4.3600256517081482</c:v>
                </c:pt>
                <c:pt idx="82">
                  <c:v>4.3192684692261514</c:v>
                </c:pt>
                <c:pt idx="83">
                  <c:v>4.2785937356433372</c:v>
                </c:pt>
                <c:pt idx="84">
                  <c:v>4.238037595896909</c:v>
                </c:pt>
                <c:pt idx="85">
                  <c:v>4.197633736639073</c:v>
                </c:pt>
                <c:pt idx="86">
                  <c:v>4.1574149337381181</c:v>
                </c:pt>
                <c:pt idx="87">
                  <c:v>4.1174125924316485</c:v>
                </c:pt>
                <c:pt idx="88">
                  <c:v>4.0776562088914226</c:v>
                </c:pt>
                <c:pt idx="89">
                  <c:v>4.0381712869080841</c:v>
                </c:pt>
                <c:pt idx="90">
                  <c:v>3.9989808792212824</c:v>
                </c:pt>
                <c:pt idx="91">
                  <c:v>3.9601047347798719</c:v>
                </c:pt>
                <c:pt idx="92">
                  <c:v>3.92155890669259</c:v>
                </c:pt>
                <c:pt idx="93">
                  <c:v>3.8833558207168251</c:v>
                </c:pt>
                <c:pt idx="94">
                  <c:v>3.8455028751492666</c:v>
                </c:pt>
                <c:pt idx="95">
                  <c:v>3.8080033528867516</c:v>
                </c:pt>
                <c:pt idx="96">
                  <c:v>3.770857407945909</c:v>
                </c:pt>
                <c:pt idx="97">
                  <c:v>3.7340601171570027</c:v>
                </c:pt>
                <c:pt idx="98">
                  <c:v>3.6976007791187535</c:v>
                </c:pt>
                <c:pt idx="99">
                  <c:v>3.6614651444366939</c:v>
                </c:pt>
                <c:pt idx="100">
                  <c:v>3.6256357490838012</c:v>
                </c:pt>
                <c:pt idx="101">
                  <c:v>3.5900895675211348</c:v>
                </c:pt>
                <c:pt idx="102">
                  <c:v>3.5548010990349934</c:v>
                </c:pt>
                <c:pt idx="103">
                  <c:v>3.5197451250253526</c:v>
                </c:pt>
                <c:pt idx="104">
                  <c:v>3.4848987521992947</c:v>
                </c:pt>
                <c:pt idx="105">
                  <c:v>3.4502424887127829</c:v>
                </c:pt>
                <c:pt idx="106">
                  <c:v>3.415761089918909</c:v>
                </c:pt>
                <c:pt idx="107">
                  <c:v>3.3814448774771795</c:v>
                </c:pt>
                <c:pt idx="108">
                  <c:v>3.3472862443874551</c:v>
                </c:pt>
                <c:pt idx="109">
                  <c:v>3.3132793036466852</c:v>
                </c:pt>
                <c:pt idx="110">
                  <c:v>3.2794216501419071</c:v>
                </c:pt>
                <c:pt idx="111">
                  <c:v>3.2457143534522603</c:v>
                </c:pt>
                <c:pt idx="112">
                  <c:v>3.212160112841683</c:v>
                </c:pt>
                <c:pt idx="113">
                  <c:v>3.1787652393345036</c:v>
                </c:pt>
                <c:pt idx="114">
                  <c:v>3.1455399277311868</c:v>
                </c:pt>
                <c:pt idx="115">
                  <c:v>3.1124948867971725</c:v>
                </c:pt>
                <c:pt idx="116">
                  <c:v>3.0796424317452158</c:v>
                </c:pt>
                <c:pt idx="117">
                  <c:v>3.0469970821346242</c:v>
                </c:pt>
                <c:pt idx="118">
                  <c:v>3.0145732614002307</c:v>
                </c:pt>
                <c:pt idx="119">
                  <c:v>2.9823851558003098</c:v>
                </c:pt>
                <c:pt idx="120">
                  <c:v>2.9504455714090199</c:v>
                </c:pt>
                <c:pt idx="121">
                  <c:v>2.9187641170886702</c:v>
                </c:pt>
                <c:pt idx="122">
                  <c:v>2.887350847385433</c:v>
                </c:pt>
                <c:pt idx="123">
                  <c:v>2.8562166062319227</c:v>
                </c:pt>
                <c:pt idx="124">
                  <c:v>2.825371086106685</c:v>
                </c:pt>
                <c:pt idx="125">
                  <c:v>2.7948204699303476</c:v>
                </c:pt>
                <c:pt idx="126">
                  <c:v>2.7645658260179355</c:v>
                </c:pt>
                <c:pt idx="127">
                  <c:v>2.7346044685735951</c:v>
                </c:pt>
                <c:pt idx="128">
                  <c:v>2.7049335996029691</c:v>
                </c:pt>
                <c:pt idx="129">
                  <c:v>2.6755506032809251</c:v>
                </c:pt>
                <c:pt idx="130">
                  <c:v>2.6464538861195255</c:v>
                </c:pt>
                <c:pt idx="131">
                  <c:v>2.6176414018437706</c:v>
                </c:pt>
                <c:pt idx="132">
                  <c:v>2.5891112600938913</c:v>
                </c:pt>
                <c:pt idx="133">
                  <c:v>2.5608634310502274</c:v>
                </c:pt>
                <c:pt idx="134">
                  <c:v>2.5328966023046915</c:v>
                </c:pt>
                <c:pt idx="135">
                  <c:v>2.5052095019705609</c:v>
                </c:pt>
                <c:pt idx="136">
                  <c:v>2.4778030461580083</c:v>
                </c:pt>
                <c:pt idx="137">
                  <c:v>2.450681175923179</c:v>
                </c:pt>
                <c:pt idx="138">
                  <c:v>2.4238534290834366</c:v>
                </c:pt>
                <c:pt idx="139">
                  <c:v>2.3973356257587994</c:v>
                </c:pt>
                <c:pt idx="140">
                  <c:v>2.3711482431230744</c:v>
                </c:pt>
                <c:pt idx="141">
                  <c:v>2.3453135617364436</c:v>
                </c:pt>
                <c:pt idx="142">
                  <c:v>2.3198542644890026</c:v>
                </c:pt>
                <c:pt idx="143">
                  <c:v>2.2947928656885805</c:v>
                </c:pt>
                <c:pt idx="144">
                  <c:v>2.2701516675560893</c:v>
                </c:pt>
                <c:pt idx="145">
                  <c:v>2.2459515194045272</c:v>
                </c:pt>
                <c:pt idx="146">
                  <c:v>2.2222125002732236</c:v>
                </c:pt>
                <c:pt idx="147">
                  <c:v>2.1989501740748154</c:v>
                </c:pt>
                <c:pt idx="148">
                  <c:v>2.1761762849040363</c:v>
                </c:pt>
                <c:pt idx="149">
                  <c:v>2.153902036064153</c:v>
                </c:pt>
                <c:pt idx="150">
                  <c:v>2.1321381874341658</c:v>
                </c:pt>
                <c:pt idx="151">
                  <c:v>2.110892176422889</c:v>
                </c:pt>
                <c:pt idx="152">
                  <c:v>2.0901716756676296</c:v>
                </c:pt>
                <c:pt idx="153">
                  <c:v>2.0699850816006298</c:v>
                </c:pt>
                <c:pt idx="154">
                  <c:v>2.0503411122569424</c:v>
                </c:pt>
                <c:pt idx="155">
                  <c:v>2.0312503227334902</c:v>
                </c:pt>
                <c:pt idx="156">
                  <c:v>2.0127247148539533</c:v>
                </c:pt>
                <c:pt idx="157">
                  <c:v>1.9947787962635952</c:v>
                </c:pt>
                <c:pt idx="158">
                  <c:v>1.9774305003683672</c:v>
                </c:pt>
                <c:pt idx="159">
                  <c:v>1.9607023014793419</c:v>
                </c:pt>
                <c:pt idx="160">
                  <c:v>1.9446193126429283</c:v>
                </c:pt>
                <c:pt idx="161">
                  <c:v>1.9292080490968824</c:v>
                </c:pt>
                <c:pt idx="162">
                  <c:v>1.9144945753674425</c:v>
                </c:pt>
                <c:pt idx="163">
                  <c:v>1.9005058309295417</c:v>
                </c:pt>
                <c:pt idx="164">
                  <c:v>1.8872697203501247</c:v>
                </c:pt>
                <c:pt idx="165">
                  <c:v>1.8748131248934283</c:v>
                </c:pt>
                <c:pt idx="166">
                  <c:v>1.8631639034593352</c:v>
                </c:pt>
                <c:pt idx="167">
                  <c:v>1.8523476356697579</c:v>
                </c:pt>
                <c:pt idx="168">
                  <c:v>1.842388400556304</c:v>
                </c:pt>
                <c:pt idx="169">
                  <c:v>1.8333067046124976</c:v>
                </c:pt>
                <c:pt idx="170">
                  <c:v>1.8251222149159638</c:v>
                </c:pt>
                <c:pt idx="171">
                  <c:v>1.8178521446307121</c:v>
                </c:pt>
                <c:pt idx="172">
                  <c:v>1.8115116801837534</c:v>
                </c:pt>
                <c:pt idx="173">
                  <c:v>1.8061133312262914</c:v>
                </c:pt>
                <c:pt idx="174">
                  <c:v>1.8016664895045895</c:v>
                </c:pt>
                <c:pt idx="175">
                  <c:v>1.7981762875123561</c:v>
                </c:pt>
                <c:pt idx="176">
                  <c:v>1.795643338657732</c:v>
                </c:pt>
                <c:pt idx="177">
                  <c:v>1.7940629891213313</c:v>
                </c:pt>
                <c:pt idx="178">
                  <c:v>1.7934210163674211</c:v>
                </c:pt>
                <c:pt idx="179">
                  <c:v>1.7936957078680682</c:v>
                </c:pt>
                <c:pt idx="180">
                  <c:v>1.79486098252654</c:v>
                </c:pt>
                <c:pt idx="181">
                  <c:v>1.7968854759605504</c:v>
                </c:pt>
                <c:pt idx="182">
                  <c:v>1.7997316342848615</c:v>
                </c:pt>
                <c:pt idx="183">
                  <c:v>1.8033569199639581</c:v>
                </c:pt>
                <c:pt idx="184">
                  <c:v>1.8077167233223996</c:v>
                </c:pt>
                <c:pt idx="185">
                  <c:v>1.8127649553674621</c:v>
                </c:pt>
                <c:pt idx="186">
                  <c:v>1.8184536179912723</c:v>
                </c:pt>
                <c:pt idx="187">
                  <c:v>1.8247328791634621</c:v>
                </c:pt>
                <c:pt idx="188">
                  <c:v>1.8315519642169504</c:v>
                </c:pt>
                <c:pt idx="189">
                  <c:v>1.8388588905403729</c:v>
                </c:pt>
                <c:pt idx="190">
                  <c:v>1.8466032827471779</c:v>
                </c:pt>
                <c:pt idx="191">
                  <c:v>1.8547381792433251</c:v>
                </c:pt>
                <c:pt idx="192">
                  <c:v>1.8632178334009561</c:v>
                </c:pt>
                <c:pt idx="193">
                  <c:v>1.8719976395252433</c:v>
                </c:pt>
                <c:pt idx="194">
                  <c:v>1.881036383832366</c:v>
                </c:pt>
                <c:pt idx="195">
                  <c:v>1.890296290200236</c:v>
                </c:pt>
                <c:pt idx="196">
                  <c:v>1.8997414473255618</c:v>
                </c:pt>
                <c:pt idx="197">
                  <c:v>1.9093394592245718</c:v>
                </c:pt>
                <c:pt idx="198">
                  <c:v>1.9190623539455369</c:v>
                </c:pt>
                <c:pt idx="199">
                  <c:v>1.9288887291034011</c:v>
                </c:pt>
                <c:pt idx="200">
                  <c:v>1.9388041989994205</c:v>
                </c:pt>
                <c:pt idx="201">
                  <c:v>1.9488005308983603</c:v>
                </c:pt>
                <c:pt idx="202">
                  <c:v>1.9588720429947772</c:v>
                </c:pt>
                <c:pt idx="203">
                  <c:v>1.9690126785941011</c:v>
                </c:pt>
                <c:pt idx="204">
                  <c:v>1.9792101515909359</c:v>
                </c:pt>
                <c:pt idx="205">
                  <c:v>1.9894468730189399</c:v>
                </c:pt>
                <c:pt idx="206">
                  <c:v>1.9996979432261879</c:v>
                </c:pt>
                <c:pt idx="207">
                  <c:v>2.0099295885185251</c:v>
                </c:pt>
                <c:pt idx="208">
                  <c:v>2.0200962359290866</c:v>
                </c:pt>
                <c:pt idx="209">
                  <c:v>2.0301443866955711</c:v>
                </c:pt>
                <c:pt idx="210">
                  <c:v>2.0400105356865721</c:v>
                </c:pt>
                <c:pt idx="211">
                  <c:v>2.0496225289073609</c:v>
                </c:pt>
                <c:pt idx="212">
                  <c:v>2.0588979847294451</c:v>
                </c:pt>
                <c:pt idx="213">
                  <c:v>2.0677440772378444</c:v>
                </c:pt>
                <c:pt idx="214">
                  <c:v>2.0760590715701652</c:v>
                </c:pt>
                <c:pt idx="215">
                  <c:v>2.083734659418202</c:v>
                </c:pt>
                <c:pt idx="216">
                  <c:v>2.0906626896282896</c:v>
                </c:pt>
                <c:pt idx="217">
                  <c:v>2.0967365882584956</c:v>
                </c:pt>
                <c:pt idx="218">
                  <c:v>2.1018567970482951</c:v>
                </c:pt>
                <c:pt idx="219">
                  <c:v>2.105930700265803</c:v>
                </c:pt>
                <c:pt idx="220">
                  <c:v>2.1088767941745274</c:v>
                </c:pt>
                <c:pt idx="221">
                  <c:v>2.1106242495171408</c:v>
                </c:pt>
                <c:pt idx="222">
                  <c:v>2.1111178563195399</c:v>
                </c:pt>
                <c:pt idx="223">
                  <c:v>2.1103202620910357</c:v>
                </c:pt>
                <c:pt idx="224">
                  <c:v>2.1082140029168945</c:v>
                </c:pt>
                <c:pt idx="225">
                  <c:v>2.1047969017036623</c:v>
                </c:pt>
                <c:pt idx="226">
                  <c:v>2.1000826669026167</c:v>
                </c:pt>
                <c:pt idx="227">
                  <c:v>2.0940988886525225</c:v>
                </c:pt>
                <c:pt idx="228">
                  <c:v>2.0868826855615352</c:v>
                </c:pt>
                <c:pt idx="229">
                  <c:v>2.0784779472564168</c:v>
                </c:pt>
                <c:pt idx="230">
                  <c:v>2.0689371651178985</c:v>
                </c:pt>
                <c:pt idx="231">
                  <c:v>2.0583223021042794</c:v>
                </c:pt>
                <c:pt idx="232">
                  <c:v>2.0466977727806102</c:v>
                </c:pt>
                <c:pt idx="233">
                  <c:v>2.0341319171509684</c:v>
                </c:pt>
                <c:pt idx="234">
                  <c:v>2.0206925927805992</c:v>
                </c:pt>
                <c:pt idx="235">
                  <c:v>2.0064488586011273</c:v>
                </c:pt>
                <c:pt idx="236">
                  <c:v>1.9914689224061166</c:v>
                </c:pt>
                <c:pt idx="237">
                  <c:v>1.9758196913173822</c:v>
                </c:pt>
                <c:pt idx="238">
                  <c:v>1.9595649910352706</c:v>
                </c:pt>
                <c:pt idx="239">
                  <c:v>1.9427644304754734</c:v>
                </c:pt>
                <c:pt idx="240">
                  <c:v>1.9254765281964985</c:v>
                </c:pt>
                <c:pt idx="241">
                  <c:v>1.9077591139826986</c:v>
                </c:pt>
                <c:pt idx="242">
                  <c:v>1.8896677579993815</c:v>
                </c:pt>
                <c:pt idx="243">
                  <c:v>1.8712593192119014</c:v>
                </c:pt>
                <c:pt idx="244">
                  <c:v>1.8525898716075415</c:v>
                </c:pt>
                <c:pt idx="245">
                  <c:v>1.8337154054705047</c:v>
                </c:pt>
                <c:pt idx="246">
                  <c:v>1.8146904827626815</c:v>
                </c:pt>
                <c:pt idx="247">
                  <c:v>1.7955684360354265</c:v>
                </c:pt>
                <c:pt idx="248">
                  <c:v>1.7764040021064302</c:v>
                </c:pt>
                <c:pt idx="249">
                  <c:v>1.7572512150492785</c:v>
                </c:pt>
                <c:pt idx="250">
                  <c:v>1.7381583843472628</c:v>
                </c:pt>
                <c:pt idx="251">
                  <c:v>1.7191685764889599</c:v>
                </c:pt>
                <c:pt idx="252">
                  <c:v>1.7003221850379131</c:v>
                </c:pt>
                <c:pt idx="253">
                  <c:v>1.6816563123101613</c:v>
                </c:pt>
                <c:pt idx="254">
                  <c:v>1.6632042335840507</c:v>
                </c:pt>
                <c:pt idx="255">
                  <c:v>1.644994304623943</c:v>
                </c:pt>
                <c:pt idx="256">
                  <c:v>1.6270465444701754</c:v>
                </c:pt>
                <c:pt idx="257">
                  <c:v>1.6093743123096542</c:v>
                </c:pt>
                <c:pt idx="258">
                  <c:v>1.5919870977162891</c:v>
                </c:pt>
                <c:pt idx="259">
                  <c:v>1.5748897345532462</c:v>
                </c:pt>
                <c:pt idx="260">
                  <c:v>1.5580813237168878</c:v>
                </c:pt>
                <c:pt idx="261">
                  <c:v>1.5415519626025378</c:v>
                </c:pt>
                <c:pt idx="262">
                  <c:v>1.5252783272480841</c:v>
                </c:pt>
                <c:pt idx="263">
                  <c:v>1.509223700403123</c:v>
                </c:pt>
                <c:pt idx="264">
                  <c:v>1.4933399556573179</c:v>
                </c:pt>
                <c:pt idx="265">
                  <c:v>1.4775665425548044</c:v>
                </c:pt>
                <c:pt idx="266">
                  <c:v>1.4618344297612014</c:v>
                </c:pt>
                <c:pt idx="267">
                  <c:v>1.4460705763492074</c:v>
                </c:pt>
                <c:pt idx="268">
                  <c:v>1.4302008995139768</c:v>
                </c:pt>
                <c:pt idx="269">
                  <c:v>1.4141529342317103</c:v>
                </c:pt>
                <c:pt idx="270">
                  <c:v>1.39785309171781</c:v>
                </c:pt>
                <c:pt idx="271">
                  <c:v>1.3812282113139569</c:v>
                </c:pt>
                <c:pt idx="272">
                  <c:v>1.364205931441371</c:v>
                </c:pt>
                <c:pt idx="273">
                  <c:v>1.3467170973946421</c:v>
                </c:pt>
                <c:pt idx="274">
                  <c:v>1.3286998298284567</c:v>
                </c:pt>
                <c:pt idx="275">
                  <c:v>1.310100862565732</c:v>
                </c:pt>
                <c:pt idx="276">
                  <c:v>1.2908742016675807</c:v>
                </c:pt>
                <c:pt idx="277">
                  <c:v>1.2709831341815157</c:v>
                </c:pt>
                <c:pt idx="278">
                  <c:v>1.2503995957676908</c:v>
                </c:pt>
                <c:pt idx="279">
                  <c:v>1.2291041468900092</c:v>
                </c:pt>
                <c:pt idx="280">
                  <c:v>1.20708611117753</c:v>
                </c:pt>
                <c:pt idx="281">
                  <c:v>1.1843400662404311</c:v>
                </c:pt>
                <c:pt idx="282">
                  <c:v>1.1608671312891135</c:v>
                </c:pt>
                <c:pt idx="283">
                  <c:v>1.1366729838151022</c:v>
                </c:pt>
                <c:pt idx="284">
                  <c:v>1.1117679007510386</c:v>
                </c:pt>
                <c:pt idx="285">
                  <c:v>1.0861656628174983</c:v>
                </c:pt>
                <c:pt idx="286">
                  <c:v>1.0598834264827359</c:v>
                </c:pt>
                <c:pt idx="287">
                  <c:v>1.0329399162484723</c:v>
                </c:pt>
                <c:pt idx="288">
                  <c:v>1.0053558387327362</c:v>
                </c:pt>
                <c:pt idx="289">
                  <c:v>0.97715663462750479</c:v>
                </c:pt>
                <c:pt idx="290">
                  <c:v>0.94837438319853096</c:v>
                </c:pt>
                <c:pt idx="291">
                  <c:v>0.91904526651531238</c:v>
                </c:pt>
                <c:pt idx="292">
                  <c:v>0.88920625533883468</c:v>
                </c:pt>
                <c:pt idx="293">
                  <c:v>0.85889224302910727</c:v>
                </c:pt>
                <c:pt idx="294">
                  <c:v>0.82813689537241009</c:v>
                </c:pt>
                <c:pt idx="295">
                  <c:v>0.79697619730978331</c:v>
                </c:pt>
                <c:pt idx="296">
                  <c:v>0.76544768874912383</c:v>
                </c:pt>
                <c:pt idx="297">
                  <c:v>0.7335903809779788</c:v>
                </c:pt>
                <c:pt idx="298">
                  <c:v>0.70144725480867354</c:v>
                </c:pt>
                <c:pt idx="299">
                  <c:v>0.66906182200275421</c:v>
                </c:pt>
                <c:pt idx="300">
                  <c:v>0.6364803124694921</c:v>
                </c:pt>
                <c:pt idx="301">
                  <c:v>0.6037506746928345</c:v>
                </c:pt>
                <c:pt idx="302">
                  <c:v>0.57092223077005821</c:v>
                </c:pt>
                <c:pt idx="303">
                  <c:v>0.53804845465280193</c:v>
                </c:pt>
                <c:pt idx="304">
                  <c:v>0.50518559631947335</c:v>
                </c:pt>
                <c:pt idx="305">
                  <c:v>0.47239547753432393</c:v>
                </c:pt>
                <c:pt idx="306">
                  <c:v>0.43974429618663369</c:v>
                </c:pt>
                <c:pt idx="307">
                  <c:v>0.40730141824224497</c:v>
                </c:pt>
                <c:pt idx="308">
                  <c:v>0.37513606571564068</c:v>
                </c:pt>
                <c:pt idx="309">
                  <c:v>0.34331749032409514</c:v>
                </c:pt>
                <c:pt idx="310">
                  <c:v>0.31191461513082613</c:v>
                </c:pt>
                <c:pt idx="311">
                  <c:v>0.28099576983724345</c:v>
                </c:pt>
                <c:pt idx="312">
                  <c:v>0.25063170677735619</c:v>
                </c:pt>
                <c:pt idx="313">
                  <c:v>0.22089242375994331</c:v>
                </c:pt>
                <c:pt idx="314">
                  <c:v>0.19184295528586101</c:v>
                </c:pt>
                <c:pt idx="315">
                  <c:v>0.16354228839359081</c:v>
                </c:pt>
                <c:pt idx="316">
                  <c:v>0.1360475682523605</c:v>
                </c:pt>
                <c:pt idx="317">
                  <c:v>0.10940975972824672</c:v>
                </c:pt>
                <c:pt idx="318">
                  <c:v>8.3677021545595712E-2</c:v>
                </c:pt>
                <c:pt idx="319">
                  <c:v>5.8894909809465733E-2</c:v>
                </c:pt>
                <c:pt idx="320">
                  <c:v>3.5107613287557439E-2</c:v>
                </c:pt>
                <c:pt idx="321">
                  <c:v>1.2355351895643945E-2</c:v>
                </c:pt>
                <c:pt idx="322">
                  <c:v>-9.3256605192769959E-3</c:v>
                </c:pt>
                <c:pt idx="323">
                  <c:v>-2.9901239054280888E-2</c:v>
                </c:pt>
                <c:pt idx="324">
                  <c:v>-4.9341380463383676E-2</c:v>
                </c:pt>
                <c:pt idx="325">
                  <c:v>-6.7619099035022182E-2</c:v>
                </c:pt>
                <c:pt idx="326">
                  <c:v>-8.4709104496827184E-2</c:v>
                </c:pt>
                <c:pt idx="327">
                  <c:v>-0.10058427569294925</c:v>
                </c:pt>
                <c:pt idx="328">
                  <c:v>-0.11521862490268947</c:v>
                </c:pt>
                <c:pt idx="329">
                  <c:v>-0.12858596289241916</c:v>
                </c:pt>
                <c:pt idx="330">
                  <c:v>-0.14066510479560149</c:v>
                </c:pt>
                <c:pt idx="331">
                  <c:v>-0.15143937256234394</c:v>
                </c:pt>
                <c:pt idx="332">
                  <c:v>-0.16089875057944542</c:v>
                </c:pt>
                <c:pt idx="333">
                  <c:v>-0.16903771993299058</c:v>
                </c:pt>
                <c:pt idx="334">
                  <c:v>-0.17585554519478494</c:v>
                </c:pt>
                <c:pt idx="335">
                  <c:v>-0.1813559428500604</c:v>
                </c:pt>
                <c:pt idx="336">
                  <c:v>-0.18554509053339152</c:v>
                </c:pt>
                <c:pt idx="337">
                  <c:v>-0.18842999986976289</c:v>
                </c:pt>
                <c:pt idx="338">
                  <c:v>-0.1900177753407136</c:v>
                </c:pt>
                <c:pt idx="339">
                  <c:v>-0.19031699959830847</c:v>
                </c:pt>
                <c:pt idx="340">
                  <c:v>-0.18933793746687055</c:v>
                </c:pt>
                <c:pt idx="341">
                  <c:v>-0.18709515658399753</c:v>
                </c:pt>
                <c:pt idx="342">
                  <c:v>-0.18360429849054741</c:v>
                </c:pt>
                <c:pt idx="343">
                  <c:v>-0.17888516313126257</c:v>
                </c:pt>
                <c:pt idx="344">
                  <c:v>-0.17296109064302662</c:v>
                </c:pt>
                <c:pt idx="345">
                  <c:v>-0.16586098915297678</c:v>
                </c:pt>
                <c:pt idx="346">
                  <c:v>-0.15761823836239655</c:v>
                </c:pt>
                <c:pt idx="347">
                  <c:v>-0.14826932423191233</c:v>
                </c:pt>
                <c:pt idx="348">
                  <c:v>-0.13785490798574343</c:v>
                </c:pt>
                <c:pt idx="349">
                  <c:v>-0.12642171330316909</c:v>
                </c:pt>
                <c:pt idx="350">
                  <c:v>-0.1140237653880983</c:v>
                </c:pt>
                <c:pt idx="351">
                  <c:v>-0.10072235268199173</c:v>
                </c:pt>
                <c:pt idx="352">
                  <c:v>-8.6580409783212922E-2</c:v>
                </c:pt>
                <c:pt idx="353">
                  <c:v>-7.1658135962558434E-2</c:v>
                </c:pt>
                <c:pt idx="354">
                  <c:v>-5.6012137002323423E-2</c:v>
                </c:pt>
                <c:pt idx="355">
                  <c:v>-3.9698068704587294E-2</c:v>
                </c:pt>
                <c:pt idx="356">
                  <c:v>-2.2772536736884688E-2</c:v>
                </c:pt>
                <c:pt idx="357">
                  <c:v>-5.2890621211583921E-3</c:v>
                </c:pt>
                <c:pt idx="358">
                  <c:v>1.2702277301487822E-2</c:v>
                </c:pt>
                <c:pt idx="359">
                  <c:v>3.1153762097836931E-2</c:v>
                </c:pt>
                <c:pt idx="360">
                  <c:v>5.0019464928982856E-2</c:v>
                </c:pt>
                <c:pt idx="361">
                  <c:v>6.9254823922361347E-2</c:v>
                </c:pt>
                <c:pt idx="362">
                  <c:v>8.8816668813012228E-2</c:v>
                </c:pt>
                <c:pt idx="363">
                  <c:v>0.10866324423255642</c:v>
                </c:pt>
                <c:pt idx="364">
                  <c:v>0.12875423047899168</c:v>
                </c:pt>
                <c:pt idx="365">
                  <c:v>0.1490507620894935</c:v>
                </c:pt>
                <c:pt idx="366">
                  <c:v>0.16951544452733003</c:v>
                </c:pt>
                <c:pt idx="367">
                  <c:v>0.19011236928277878</c:v>
                </c:pt>
                <c:pt idx="368">
                  <c:v>0.21080712767658311</c:v>
                </c:pt>
                <c:pt idx="369">
                  <c:v>0.23156682364302075</c:v>
                </c:pt>
                <c:pt idx="370">
                  <c:v>0.252360085758083</c:v>
                </c:pt>
                <c:pt idx="371">
                  <c:v>0.2731570787665924</c:v>
                </c:pt>
                <c:pt idx="372">
                  <c:v>0.29392951485032237</c:v>
                </c:pt>
                <c:pt idx="373">
                  <c:v>0.31465066486732901</c:v>
                </c:pt>
                <c:pt idx="374">
                  <c:v>0.33529536978076535</c:v>
                </c:pt>
                <c:pt idx="375">
                  <c:v>0.35584005248342154</c:v>
                </c:pt>
                <c:pt idx="376">
                  <c:v>0.3762627302121192</c:v>
                </c:pt>
                <c:pt idx="377">
                  <c:v>0.396543027733882</c:v>
                </c:pt>
                <c:pt idx="378">
                  <c:v>0.41666219147350275</c:v>
                </c:pt>
                <c:pt idx="379">
                  <c:v>0.43660310473972314</c:v>
                </c:pt>
                <c:pt idx="380">
                  <c:v>0.45635030419472961</c:v>
                </c:pt>
                <c:pt idx="381">
                  <c:v>0.47588999769903889</c:v>
                </c:pt>
                <c:pt idx="382">
                  <c:v>0.49521008365108871</c:v>
                </c:pt>
                <c:pt idx="383">
                  <c:v>0.51430017192795474</c:v>
                </c:pt>
                <c:pt idx="384">
                  <c:v>0.53315160652057014</c:v>
                </c:pt>
                <c:pt idx="385">
                  <c:v>0.55175748994361851</c:v>
                </c:pt>
                <c:pt idx="386">
                  <c:v>0.57011270948689086</c:v>
                </c:pt>
                <c:pt idx="387">
                  <c:v>0.5882139653613272</c:v>
                </c:pt>
                <c:pt idx="388">
                  <c:v>0.60605980077919275</c:v>
                </c:pt>
                <c:pt idx="389">
                  <c:v>0.62365063399385079</c:v>
                </c:pt>
                <c:pt idx="390">
                  <c:v>0.64098879231037209</c:v>
                </c:pt>
                <c:pt idx="391">
                  <c:v>0.6580785480637541</c:v>
                </c:pt>
                <c:pt idx="392">
                  <c:v>0.674926156546792</c:v>
                </c:pt>
                <c:pt idx="393">
                  <c:v>0.6915398958546366</c:v>
                </c:pt>
                <c:pt idx="394">
                  <c:v>0.70793010859777206</c:v>
                </c:pt>
                <c:pt idx="395">
                  <c:v>0.72410924541953992</c:v>
                </c:pt>
                <c:pt idx="396">
                  <c:v>0.74009191023840504</c:v>
                </c:pt>
                <c:pt idx="397">
                  <c:v>0.75589490711889373</c:v>
                </c:pt>
                <c:pt idx="398">
                  <c:v>0.77153728865851989</c:v>
                </c:pt>
                <c:pt idx="399">
                  <c:v>0.78703555722403251</c:v>
                </c:pt>
                <c:pt idx="400">
                  <c:v>0.80240453123628064</c:v>
                </c:pt>
                <c:pt idx="401">
                  <c:v>0.81765815354082616</c:v>
                </c:pt>
                <c:pt idx="402">
                  <c:v>0.83280819944826778</c:v>
                </c:pt>
                <c:pt idx="403">
                  <c:v>0.84786526650721694</c:v>
                </c:pt>
                <c:pt idx="404">
                  <c:v>0.86283748458187559</c:v>
                </c:pt>
                <c:pt idx="405">
                  <c:v>0.8777318882218893</c:v>
                </c:pt>
                <c:pt idx="406">
                  <c:v>0.89255760555264008</c:v>
                </c:pt>
                <c:pt idx="407">
                  <c:v>0.90732367366642197</c:v>
                </c:pt>
                <c:pt idx="408">
                  <c:v>0.92203786865162829</c:v>
                </c:pt>
                <c:pt idx="409">
                  <c:v>0.936704147301331</c:v>
                </c:pt>
                <c:pt idx="410">
                  <c:v>0.95132388861640571</c:v>
                </c:pt>
                <c:pt idx="411">
                  <c:v>0.96589655763362825</c:v>
                </c:pt>
                <c:pt idx="412">
                  <c:v>0.98042287285051033</c:v>
                </c:pt>
                <c:pt idx="413">
                  <c:v>0.99490302285825483</c:v>
                </c:pt>
                <c:pt idx="414">
                  <c:v>1.0093386667096935</c:v>
                </c:pt>
                <c:pt idx="415">
                  <c:v>1.0237321568047042</c:v>
                </c:pt>
                <c:pt idx="416">
                  <c:v>1.0380871127070019</c:v>
                </c:pt>
                <c:pt idx="417">
                  <c:v>1.0524085530076415</c:v>
                </c:pt>
                <c:pt idx="418">
                  <c:v>1.0667014574017455</c:v>
                </c:pt>
                <c:pt idx="419">
                  <c:v>1.0809705869227628</c:v>
                </c:pt>
                <c:pt idx="420">
                  <c:v>1.0952204678706747</c:v>
                </c:pt>
                <c:pt idx="421">
                  <c:v>1.1094576617261187</c:v>
                </c:pt>
                <c:pt idx="422">
                  <c:v>1.1236897610618013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26-B64F-B748-C467466B1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3708784"/>
        <c:axId val="496643104"/>
      </c:lineChart>
      <c:dateAx>
        <c:axId val="1353708784"/>
        <c:scaling>
          <c:orientation val="minMax"/>
        </c:scaling>
        <c:delete val="0"/>
        <c:axPos val="b"/>
        <c:numFmt formatCode="General" sourceLinked="1"/>
        <c:majorTickMark val="none"/>
        <c:minorTickMark val="in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DK"/>
          </a:p>
        </c:txPr>
        <c:crossAx val="496643104"/>
        <c:crosses val="autoZero"/>
        <c:auto val="0"/>
        <c:lblOffset val="100"/>
        <c:baseTimeUnit val="months"/>
        <c:majorUnit val="24"/>
        <c:majorTimeUnit val="months"/>
        <c:minorUnit val="24"/>
        <c:minorTimeUnit val="months"/>
      </c:dateAx>
      <c:valAx>
        <c:axId val="4966431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+mn-cs"/>
                  </a:defRPr>
                </a:pPr>
                <a:r>
                  <a:rPr lang="en-GB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+mn-cs"/>
                </a:defRPr>
              </a:pPr>
              <a:endParaRPr lang="en-DK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+mn-cs"/>
              </a:defRPr>
            </a:pPr>
            <a:endParaRPr lang="en-DK"/>
          </a:p>
        </c:txPr>
        <c:crossAx val="135370878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pPr>
          <a:endParaRPr lang="en-DK"/>
        </a:p>
      </c:txPr>
    </c:legend>
    <c:plotVisOnly val="1"/>
    <c:dispBlanksAs val="zero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chemeClr val="tx1"/>
          </a:solidFill>
          <a:latin typeface="Arial" panose="020B0604020202020204" pitchFamily="34" charset="0"/>
        </a:defRPr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283883</xdr:colOff>
      <xdr:row>11</xdr:row>
      <xdr:rowOff>134471</xdr:rowOff>
    </xdr:from>
    <xdr:to>
      <xdr:col>22</xdr:col>
      <xdr:colOff>508000</xdr:colOff>
      <xdr:row>35</xdr:row>
      <xdr:rowOff>74706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B0C0A83-C4A3-A647-8A12-E2D7A1912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ecb.europa.eu/data/datasets/FM/FM.M.U2.EUR.4F.BB.R_U2_10Y.YLDA" TargetMode="External"/><Relationship Id="rId2" Type="http://schemas.openxmlformats.org/officeDocument/2006/relationships/hyperlink" Target="https://data.ecb.europa.eu/" TargetMode="External"/><Relationship Id="rId1" Type="http://schemas.openxmlformats.org/officeDocument/2006/relationships/hyperlink" Target="https://data.ecb.europa.eu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38"/>
  <sheetViews>
    <sheetView tabSelected="1" topLeftCell="A4" zoomScale="85" workbookViewId="0">
      <selection activeCell="L12" sqref="L12"/>
    </sheetView>
  </sheetViews>
  <sheetFormatPr baseColWidth="10" defaultColWidth="8.83203125" defaultRowHeight="15" x14ac:dyDescent="0.2"/>
  <sheetData>
    <row r="1" spans="1:13" x14ac:dyDescent="0.2">
      <c r="A1" s="1" t="s">
        <v>0</v>
      </c>
    </row>
    <row r="2" spans="1:13" x14ac:dyDescent="0.2">
      <c r="A2" t="s">
        <v>1</v>
      </c>
    </row>
    <row r="4" spans="1:13" x14ac:dyDescent="0.2">
      <c r="A4" s="2" t="s">
        <v>2</v>
      </c>
      <c r="C4" t="s">
        <v>3</v>
      </c>
    </row>
    <row r="5" spans="1:13" x14ac:dyDescent="0.2">
      <c r="A5" s="3" t="s">
        <v>4</v>
      </c>
      <c r="C5" t="s">
        <v>5</v>
      </c>
    </row>
    <row r="6" spans="1:13" x14ac:dyDescent="0.2">
      <c r="A6" s="4" t="s">
        <v>6</v>
      </c>
      <c r="C6" s="12" t="s">
        <v>7</v>
      </c>
      <c r="D6" s="12"/>
    </row>
    <row r="7" spans="1:13" x14ac:dyDescent="0.2">
      <c r="A7" s="5" t="s">
        <v>8</v>
      </c>
      <c r="C7" t="s">
        <v>9</v>
      </c>
    </row>
    <row r="8" spans="1:13" x14ac:dyDescent="0.2">
      <c r="A8" s="6" t="s">
        <v>10</v>
      </c>
      <c r="C8" t="s">
        <v>11</v>
      </c>
    </row>
    <row r="9" spans="1:13" x14ac:dyDescent="0.2">
      <c r="A9" s="7" t="s">
        <v>12</v>
      </c>
      <c r="C9" t="s">
        <v>13</v>
      </c>
    </row>
    <row r="10" spans="1:13" x14ac:dyDescent="0.2">
      <c r="A10" s="8" t="s">
        <v>14</v>
      </c>
      <c r="C10" t="s">
        <v>15</v>
      </c>
    </row>
    <row r="11" spans="1:13" x14ac:dyDescent="0.2">
      <c r="A11" s="9" t="s">
        <v>16</v>
      </c>
      <c r="C11" t="s">
        <v>17</v>
      </c>
    </row>
    <row r="12" spans="1:13" x14ac:dyDescent="0.2">
      <c r="A12" s="10" t="s">
        <v>18</v>
      </c>
      <c r="C12" t="s">
        <v>19</v>
      </c>
    </row>
    <row r="13" spans="1:13" x14ac:dyDescent="0.2">
      <c r="A13" s="11" t="s">
        <v>20</v>
      </c>
      <c r="C13" t="s">
        <v>21</v>
      </c>
    </row>
    <row r="15" spans="1:13" x14ac:dyDescent="0.2">
      <c r="A15" s="13" t="s">
        <v>22</v>
      </c>
      <c r="B15" s="14" t="s">
        <v>23</v>
      </c>
      <c r="C15" s="2" t="s">
        <v>876</v>
      </c>
      <c r="D15" s="2" t="s">
        <v>875</v>
      </c>
      <c r="E15" s="2" t="s">
        <v>870</v>
      </c>
      <c r="F15" s="2" t="s">
        <v>874</v>
      </c>
      <c r="G15" s="2"/>
      <c r="H15" s="2" t="s">
        <v>871</v>
      </c>
      <c r="I15" t="s">
        <v>872</v>
      </c>
      <c r="J15" s="2" t="s">
        <v>873</v>
      </c>
    </row>
    <row r="16" spans="1:13" x14ac:dyDescent="0.2">
      <c r="A16" s="15" t="s">
        <v>24</v>
      </c>
      <c r="B16" t="s">
        <v>25</v>
      </c>
      <c r="C16">
        <v>6.9448800000000004</v>
      </c>
      <c r="D16">
        <f>C16</f>
        <v>6.9448800000000004</v>
      </c>
      <c r="F16">
        <v>6.2020540397866322</v>
      </c>
      <c r="H16">
        <v>1992</v>
      </c>
      <c r="I16">
        <f>AVERAGE(F28:F39)</f>
        <v>5.9541803389015717</v>
      </c>
      <c r="J16">
        <f>I16</f>
        <v>5.9541803389015717</v>
      </c>
      <c r="K16">
        <v>6.2052238333333323</v>
      </c>
      <c r="M16">
        <v>5.9541803389015717</v>
      </c>
    </row>
    <row r="17" spans="1:13" x14ac:dyDescent="0.2">
      <c r="A17" s="15" t="s">
        <v>26</v>
      </c>
      <c r="B17" t="s">
        <v>27</v>
      </c>
      <c r="C17">
        <v>6.3412699999999997</v>
      </c>
      <c r="D17">
        <f t="shared" ref="D17:D80" si="0">C17</f>
        <v>6.3412699999999997</v>
      </c>
      <c r="F17">
        <v>6.1877049401930559</v>
      </c>
      <c r="H17">
        <f>1+H16</f>
        <v>1993</v>
      </c>
      <c r="I17">
        <f>AVERAGE(F40:F51)</f>
        <v>5.7779014114168801</v>
      </c>
      <c r="J17">
        <f t="shared" ref="J17:J43" si="1">I17</f>
        <v>5.7779014114168801</v>
      </c>
      <c r="K17">
        <v>5.1741890000000001</v>
      </c>
      <c r="M17">
        <v>5.7779014114168801</v>
      </c>
    </row>
    <row r="18" spans="1:13" x14ac:dyDescent="0.2">
      <c r="A18" s="15" t="s">
        <v>28</v>
      </c>
      <c r="B18" t="s">
        <v>29</v>
      </c>
      <c r="C18">
        <v>6.4724599999999999</v>
      </c>
      <c r="D18">
        <f t="shared" si="0"/>
        <v>6.4724599999999999</v>
      </c>
      <c r="F18">
        <v>6.173361572281272</v>
      </c>
      <c r="H18">
        <f t="shared" ref="H18:H49" si="2">1+H17</f>
        <v>1994</v>
      </c>
      <c r="I18">
        <f>AVERAGE(F52:F63)</f>
        <v>5.5937206135294026</v>
      </c>
      <c r="J18">
        <f t="shared" si="1"/>
        <v>5.5937206135294026</v>
      </c>
      <c r="K18">
        <v>5.4675000000000002</v>
      </c>
      <c r="M18">
        <v>5.5937206135294026</v>
      </c>
    </row>
    <row r="19" spans="1:13" x14ac:dyDescent="0.2">
      <c r="A19" s="15" t="s">
        <v>30</v>
      </c>
      <c r="B19" t="s">
        <v>31</v>
      </c>
      <c r="C19">
        <v>6.3173599999999999</v>
      </c>
      <c r="D19">
        <f t="shared" si="0"/>
        <v>6.3173599999999999</v>
      </c>
      <c r="F19">
        <v>6.159030852648657</v>
      </c>
      <c r="H19">
        <f t="shared" si="2"/>
        <v>1995</v>
      </c>
      <c r="I19">
        <f>AVERAGE(F64:F75)</f>
        <v>5.3445026374521527</v>
      </c>
      <c r="J19">
        <f t="shared" si="1"/>
        <v>5.3445026374521527</v>
      </c>
      <c r="K19">
        <v>6.2958333333333343</v>
      </c>
      <c r="M19">
        <v>5.3445026374521527</v>
      </c>
    </row>
    <row r="20" spans="1:13" x14ac:dyDescent="0.2">
      <c r="A20" s="15" t="s">
        <v>32</v>
      </c>
      <c r="B20" t="s">
        <v>33</v>
      </c>
      <c r="C20">
        <v>5.8854769999999998</v>
      </c>
      <c r="D20">
        <f t="shared" si="0"/>
        <v>5.8854769999999998</v>
      </c>
      <c r="F20">
        <v>6.1447220057508263</v>
      </c>
      <c r="H20">
        <f t="shared" si="2"/>
        <v>1996</v>
      </c>
      <c r="I20">
        <f>AVERAGE(F76:F87)</f>
        <v>4.9675327230999304</v>
      </c>
      <c r="J20">
        <f t="shared" si="1"/>
        <v>4.9675327230999304</v>
      </c>
      <c r="K20">
        <v>5.057500000000001</v>
      </c>
      <c r="M20">
        <v>4.9675327230999304</v>
      </c>
    </row>
    <row r="21" spans="1:13" x14ac:dyDescent="0.2">
      <c r="A21" s="15" t="s">
        <v>34</v>
      </c>
      <c r="B21" t="s">
        <v>35</v>
      </c>
      <c r="C21">
        <v>5.7527299999999997</v>
      </c>
      <c r="D21">
        <f t="shared" si="0"/>
        <v>5.7527299999999997</v>
      </c>
      <c r="F21">
        <v>6.1304454777189132</v>
      </c>
      <c r="H21">
        <f t="shared" si="2"/>
        <v>1997</v>
      </c>
      <c r="I21">
        <f>AVERAGE(F88:F99)</f>
        <v>4.5021354432772505</v>
      </c>
      <c r="J21">
        <f t="shared" si="1"/>
        <v>4.5021354432772505</v>
      </c>
      <c r="K21">
        <v>4.3833333333333337</v>
      </c>
      <c r="M21">
        <v>4.5021354432772505</v>
      </c>
    </row>
    <row r="22" spans="1:13" x14ac:dyDescent="0.2">
      <c r="A22" s="15" t="s">
        <v>36</v>
      </c>
      <c r="B22" t="s">
        <v>37</v>
      </c>
      <c r="C22">
        <v>5.2246100000000002</v>
      </c>
      <c r="D22">
        <f t="shared" si="0"/>
        <v>5.2246100000000002</v>
      </c>
      <c r="F22">
        <v>6.1162097143367857</v>
      </c>
      <c r="H22">
        <f t="shared" si="2"/>
        <v>1998</v>
      </c>
      <c r="I22">
        <f>AVERAGE(F100:F111)</f>
        <v>4.0203194103293196</v>
      </c>
      <c r="J22">
        <f t="shared" si="1"/>
        <v>4.0203194103293196</v>
      </c>
      <c r="K22">
        <v>3.6033333333333335</v>
      </c>
      <c r="M22">
        <v>4.0203194103293196</v>
      </c>
    </row>
    <row r="23" spans="1:13" x14ac:dyDescent="0.2">
      <c r="A23" s="15" t="s">
        <v>38</v>
      </c>
      <c r="B23" t="s">
        <v>39</v>
      </c>
      <c r="C23">
        <v>5.7016900000000001</v>
      </c>
      <c r="D23">
        <f t="shared" si="0"/>
        <v>5.7016900000000001</v>
      </c>
      <c r="F23">
        <v>6.1020202469170322</v>
      </c>
      <c r="H23">
        <f t="shared" si="2"/>
        <v>1999</v>
      </c>
      <c r="I23">
        <f>AVERAGE(F112:F123)</f>
        <v>3.573883516469317</v>
      </c>
      <c r="J23">
        <f t="shared" si="1"/>
        <v>3.573883516469317</v>
      </c>
      <c r="K23">
        <v>3.5634741166666664</v>
      </c>
      <c r="M23">
        <v>3.573883516469317</v>
      </c>
    </row>
    <row r="24" spans="1:13" x14ac:dyDescent="0.2">
      <c r="A24" s="15" t="s">
        <v>40</v>
      </c>
      <c r="B24" t="s">
        <v>41</v>
      </c>
      <c r="C24">
        <v>6.1020799999999999</v>
      </c>
      <c r="D24">
        <f t="shared" si="0"/>
        <v>6.1020799999999999</v>
      </c>
      <c r="F24">
        <v>6.087875727144815</v>
      </c>
      <c r="H24">
        <f t="shared" si="2"/>
        <v>2000</v>
      </c>
      <c r="I24">
        <f>AVERAGE(F124:F135)</f>
        <v>3.1631883041177695</v>
      </c>
      <c r="J24">
        <f t="shared" si="1"/>
        <v>3.1631883041177695</v>
      </c>
      <c r="K24">
        <v>3.3305436499999996</v>
      </c>
      <c r="M24">
        <v>3.1631883041177695</v>
      </c>
    </row>
    <row r="25" spans="1:13" x14ac:dyDescent="0.2">
      <c r="A25" s="15" t="s">
        <v>42</v>
      </c>
      <c r="B25" t="s">
        <v>43</v>
      </c>
      <c r="C25">
        <v>6.171881</v>
      </c>
      <c r="D25">
        <f t="shared" si="0"/>
        <v>6.171881</v>
      </c>
      <c r="F25">
        <v>6.0737717177373405</v>
      </c>
      <c r="H25">
        <f t="shared" si="2"/>
        <v>2001</v>
      </c>
      <c r="I25">
        <f>AVERAGE(F136:F147)</f>
        <v>2.7813932069659</v>
      </c>
      <c r="J25">
        <f t="shared" si="1"/>
        <v>2.7813932069659</v>
      </c>
      <c r="K25">
        <v>2.6772954416666668</v>
      </c>
      <c r="M25">
        <v>2.7813932069659</v>
      </c>
    </row>
    <row r="26" spans="1:13" x14ac:dyDescent="0.2">
      <c r="A26" s="15" t="s">
        <v>44</v>
      </c>
      <c r="B26" t="s">
        <v>45</v>
      </c>
      <c r="C26">
        <v>5.8183199999999999</v>
      </c>
      <c r="D26">
        <f t="shared" si="0"/>
        <v>5.8183199999999999</v>
      </c>
      <c r="F26">
        <v>6.0597038910126866</v>
      </c>
      <c r="H26">
        <f t="shared" si="2"/>
        <v>2002</v>
      </c>
      <c r="I26">
        <f>AVERAGE(F148:F159)</f>
        <v>2.439071917281658</v>
      </c>
      <c r="J26">
        <f t="shared" si="1"/>
        <v>2.439071917281658</v>
      </c>
      <c r="K26">
        <v>2.66456655</v>
      </c>
      <c r="M26">
        <v>2.439071917281658</v>
      </c>
    </row>
    <row r="27" spans="1:13" x14ac:dyDescent="0.2">
      <c r="A27" s="15" t="s">
        <v>46</v>
      </c>
      <c r="B27" t="s">
        <v>47</v>
      </c>
      <c r="C27">
        <v>5.7923249999999999</v>
      </c>
      <c r="D27">
        <f t="shared" si="0"/>
        <v>5.7923249999999999</v>
      </c>
      <c r="F27">
        <v>6.0456686763049987</v>
      </c>
      <c r="H27">
        <f t="shared" si="2"/>
        <v>2003</v>
      </c>
      <c r="I27">
        <f>AVERAGE(F160:F171)</f>
        <v>2.1460102281993829</v>
      </c>
      <c r="J27">
        <f t="shared" si="1"/>
        <v>2.1460102281993829</v>
      </c>
      <c r="K27">
        <v>2.0775202166666666</v>
      </c>
      <c r="M27">
        <v>2.1460102281993829</v>
      </c>
    </row>
    <row r="28" spans="1:13" x14ac:dyDescent="0.2">
      <c r="A28" s="15" t="s">
        <v>48</v>
      </c>
      <c r="B28" t="s">
        <v>49</v>
      </c>
      <c r="C28">
        <v>5.7113899999999997</v>
      </c>
      <c r="D28">
        <f t="shared" si="0"/>
        <v>5.7113899999999997</v>
      </c>
      <c r="E28">
        <f>AVERAGE(C16:C39)</f>
        <v>6.1244903749999979</v>
      </c>
      <c r="F28">
        <v>6.0316606404183997</v>
      </c>
      <c r="H28">
        <f t="shared" si="2"/>
        <v>2004</v>
      </c>
      <c r="I28">
        <f>AVERAGE(F172:F183)</f>
        <v>1.9260048721145582</v>
      </c>
      <c r="J28">
        <f t="shared" si="1"/>
        <v>1.9260048721145582</v>
      </c>
      <c r="K28">
        <v>1.9907924333333336</v>
      </c>
      <c r="M28">
        <v>1.9260048721145582</v>
      </c>
    </row>
    <row r="29" spans="1:13" x14ac:dyDescent="0.2">
      <c r="A29" s="15" t="s">
        <v>50</v>
      </c>
      <c r="B29" t="s">
        <v>51</v>
      </c>
      <c r="C29">
        <v>5.7469910000000004</v>
      </c>
      <c r="D29">
        <f t="shared" si="0"/>
        <v>5.7469910000000004</v>
      </c>
      <c r="E29">
        <f t="shared" ref="E29:E92" si="3">AVERAGE(C17:C40)</f>
        <v>6.0977330833333321</v>
      </c>
      <c r="F29">
        <v>6.0176723953446949</v>
      </c>
      <c r="H29">
        <f t="shared" si="2"/>
        <v>2005</v>
      </c>
      <c r="I29">
        <f>AVERAGE(F184:F195)</f>
        <v>1.8094133587630852</v>
      </c>
      <c r="J29">
        <f t="shared" si="1"/>
        <v>1.8094133587630852</v>
      </c>
      <c r="K29">
        <v>1.2492079</v>
      </c>
      <c r="M29">
        <v>1.8094133587630852</v>
      </c>
    </row>
    <row r="30" spans="1:13" x14ac:dyDescent="0.2">
      <c r="A30" s="15" t="s">
        <v>52</v>
      </c>
      <c r="B30" t="s">
        <v>53</v>
      </c>
      <c r="C30">
        <v>5.281193</v>
      </c>
      <c r="D30">
        <f t="shared" si="0"/>
        <v>5.281193</v>
      </c>
      <c r="E30">
        <f t="shared" si="3"/>
        <v>6.0836400416666665</v>
      </c>
      <c r="F30">
        <v>6.0036940818516129</v>
      </c>
      <c r="H30">
        <f t="shared" si="2"/>
        <v>2006</v>
      </c>
      <c r="I30">
        <f>AVERAGE(F196:F207)</f>
        <v>1.8191879587773607</v>
      </c>
      <c r="J30">
        <f t="shared" si="1"/>
        <v>1.8191879587773607</v>
      </c>
      <c r="K30">
        <v>1.6761817833333332</v>
      </c>
      <c r="M30">
        <v>1.8191879587773607</v>
      </c>
    </row>
    <row r="31" spans="1:13" x14ac:dyDescent="0.2">
      <c r="A31" s="15" t="s">
        <v>54</v>
      </c>
      <c r="B31" t="s">
        <v>55</v>
      </c>
      <c r="C31">
        <v>5.4231090000000002</v>
      </c>
      <c r="D31">
        <f t="shared" si="0"/>
        <v>5.4231090000000002</v>
      </c>
      <c r="E31">
        <f t="shared" si="3"/>
        <v>6.061695125</v>
      </c>
      <c r="F31">
        <v>5.9897137521158683</v>
      </c>
      <c r="H31">
        <f t="shared" si="2"/>
        <v>2007</v>
      </c>
      <c r="I31">
        <f>AVERAGE(F208:F219)</f>
        <v>1.9149224656703776</v>
      </c>
      <c r="J31">
        <f t="shared" si="1"/>
        <v>1.9149224656703776</v>
      </c>
      <c r="K31">
        <v>2.2067031333333333</v>
      </c>
      <c r="M31">
        <v>1.9149224656703776</v>
      </c>
    </row>
    <row r="32" spans="1:13" x14ac:dyDescent="0.2">
      <c r="A32" s="15" t="s">
        <v>56</v>
      </c>
      <c r="B32" t="s">
        <v>57</v>
      </c>
      <c r="C32">
        <v>5.5796559999999999</v>
      </c>
      <c r="D32">
        <f t="shared" si="0"/>
        <v>5.5796559999999999</v>
      </c>
      <c r="E32">
        <f t="shared" si="3"/>
        <v>6.046633625000001</v>
      </c>
      <c r="F32">
        <v>5.9757138834601502</v>
      </c>
      <c r="H32">
        <f t="shared" si="2"/>
        <v>2008</v>
      </c>
      <c r="I32">
        <f>AVERAGE(F220:F231)</f>
        <v>2.0337161697107362</v>
      </c>
      <c r="J32">
        <f t="shared" si="1"/>
        <v>2.0337161697107362</v>
      </c>
      <c r="K32">
        <v>1.0726784333333332</v>
      </c>
      <c r="M32">
        <v>2.0337161697107362</v>
      </c>
    </row>
    <row r="33" spans="1:48" x14ac:dyDescent="0.2">
      <c r="A33" s="15" t="s">
        <v>58</v>
      </c>
      <c r="B33" t="s">
        <v>59</v>
      </c>
      <c r="C33">
        <v>5.925446</v>
      </c>
      <c r="D33">
        <f t="shared" si="0"/>
        <v>5.925446</v>
      </c>
      <c r="E33">
        <f t="shared" si="3"/>
        <v>6.0490010000000005</v>
      </c>
      <c r="F33">
        <v>5.9616725812569005</v>
      </c>
      <c r="H33">
        <f t="shared" si="2"/>
        <v>2009</v>
      </c>
      <c r="I33">
        <f>AVERAGE(F232:F243)</f>
        <v>2.1036098664565683</v>
      </c>
      <c r="J33">
        <f t="shared" si="1"/>
        <v>2.1036098664565683</v>
      </c>
      <c r="K33">
        <v>3.7286164083333335</v>
      </c>
      <c r="M33">
        <v>2.1036098664565683</v>
      </c>
    </row>
    <row r="34" spans="1:48" x14ac:dyDescent="0.2">
      <c r="A34" s="15" t="s">
        <v>60</v>
      </c>
      <c r="B34" t="s">
        <v>61</v>
      </c>
      <c r="C34">
        <v>6.7330899999999998</v>
      </c>
      <c r="D34">
        <f t="shared" si="0"/>
        <v>6.7330899999999998</v>
      </c>
      <c r="E34">
        <f t="shared" si="3"/>
        <v>6.0459548750000005</v>
      </c>
      <c r="F34">
        <v>5.9475648948763737</v>
      </c>
      <c r="H34">
        <f t="shared" si="2"/>
        <v>2010</v>
      </c>
      <c r="I34">
        <f>AVERAGE(F244:F255)</f>
        <v>2.02251743971564</v>
      </c>
      <c r="J34">
        <f t="shared" si="1"/>
        <v>2.02251743971564</v>
      </c>
      <c r="K34">
        <v>2.1730711416666662</v>
      </c>
      <c r="M34">
        <v>2.02251743971564</v>
      </c>
    </row>
    <row r="35" spans="1:48" x14ac:dyDescent="0.2">
      <c r="A35" s="15" t="s">
        <v>62</v>
      </c>
      <c r="B35" t="s">
        <v>63</v>
      </c>
      <c r="C35">
        <v>6.8013599999999999</v>
      </c>
      <c r="D35">
        <f t="shared" si="0"/>
        <v>6.8013599999999999</v>
      </c>
      <c r="E35">
        <f t="shared" si="3"/>
        <v>6.0408389583333344</v>
      </c>
      <c r="F35">
        <v>5.9333655941627352</v>
      </c>
      <c r="H35">
        <f t="shared" si="2"/>
        <v>2011</v>
      </c>
      <c r="I35">
        <f>AVERAGE(F256:F267)</f>
        <v>1.8234757577715472</v>
      </c>
      <c r="J35">
        <f t="shared" si="1"/>
        <v>1.8234757577715472</v>
      </c>
      <c r="K35">
        <v>1.5996191</v>
      </c>
      <c r="M35">
        <v>1.8234757577715472</v>
      </c>
    </row>
    <row r="36" spans="1:48" x14ac:dyDescent="0.2">
      <c r="A36" s="15" t="s">
        <v>64</v>
      </c>
      <c r="B36" t="s">
        <v>65</v>
      </c>
      <c r="C36">
        <v>6.7218600000000004</v>
      </c>
      <c r="D36">
        <f t="shared" si="0"/>
        <v>6.7218600000000004</v>
      </c>
      <c r="E36">
        <f t="shared" si="3"/>
        <v>5.9957578333333332</v>
      </c>
      <c r="F36">
        <v>5.9190555101106543</v>
      </c>
      <c r="H36">
        <f t="shared" si="2"/>
        <v>2012</v>
      </c>
      <c r="I36">
        <f>AVERAGE(F268:F279)</f>
        <v>1.6023008365480056</v>
      </c>
      <c r="J36">
        <f t="shared" si="1"/>
        <v>1.6023008365480056</v>
      </c>
      <c r="K36">
        <v>0.54765090000000005</v>
      </c>
      <c r="M36">
        <v>1.6023008365480056</v>
      </c>
    </row>
    <row r="37" spans="1:48" x14ac:dyDescent="0.2">
      <c r="A37" s="15" t="s">
        <v>66</v>
      </c>
      <c r="B37" t="s">
        <v>67</v>
      </c>
      <c r="C37">
        <v>7.0244900000000001</v>
      </c>
      <c r="D37">
        <f t="shared" si="0"/>
        <v>7.0244900000000001</v>
      </c>
      <c r="E37">
        <f t="shared" si="3"/>
        <v>5.9211711666666682</v>
      </c>
      <c r="F37">
        <v>5.9046221712024991</v>
      </c>
      <c r="H37">
        <f t="shared" si="2"/>
        <v>2013</v>
      </c>
      <c r="I37">
        <f>AVERAGE(F280:F291)</f>
        <v>1.4043308635275153</v>
      </c>
      <c r="J37">
        <f t="shared" si="1"/>
        <v>1.4043308635275153</v>
      </c>
      <c r="K37">
        <v>1.6617758999999996</v>
      </c>
      <c r="M37">
        <v>1.4043308635275153</v>
      </c>
    </row>
    <row r="38" spans="1:48" x14ac:dyDescent="0.2">
      <c r="A38" s="15" t="s">
        <v>68</v>
      </c>
      <c r="B38" t="s">
        <v>69</v>
      </c>
      <c r="C38">
        <v>6.7812999999999999</v>
      </c>
      <c r="D38">
        <f t="shared" si="0"/>
        <v>6.7812999999999999</v>
      </c>
      <c r="E38">
        <f t="shared" si="3"/>
        <v>5.8332368750000008</v>
      </c>
      <c r="F38">
        <v>5.8900593003997246</v>
      </c>
      <c r="H38">
        <f t="shared" si="2"/>
        <v>2014</v>
      </c>
      <c r="I38">
        <f>AVERAGE(F292:F303)</f>
        <v>1.1684236897773932</v>
      </c>
      <c r="J38">
        <f t="shared" si="1"/>
        <v>1.1684236897773932</v>
      </c>
      <c r="K38">
        <v>1.8396830499999997</v>
      </c>
      <c r="M38">
        <v>1.1684236897773932</v>
      </c>
    </row>
    <row r="39" spans="1:48" x14ac:dyDescent="0.2">
      <c r="A39" s="15" t="s">
        <v>70</v>
      </c>
      <c r="B39" t="s">
        <v>71</v>
      </c>
      <c r="C39">
        <v>6.7328010000000003</v>
      </c>
      <c r="D39">
        <f t="shared" si="0"/>
        <v>6.7328010000000003</v>
      </c>
      <c r="E39">
        <f t="shared" si="3"/>
        <v>5.7650000416666671</v>
      </c>
      <c r="F39">
        <v>5.8753692616192552</v>
      </c>
      <c r="H39">
        <f t="shared" si="2"/>
        <v>2015</v>
      </c>
      <c r="I39">
        <f>AVERAGE(F304:F315)</f>
        <v>0.84105757172189588</v>
      </c>
      <c r="J39">
        <f t="shared" si="1"/>
        <v>0.84105757172189588</v>
      </c>
      <c r="K39">
        <v>1.0841417250000001</v>
      </c>
      <c r="M39">
        <v>0.84105757172189588</v>
      </c>
    </row>
    <row r="40" spans="1:48" x14ac:dyDescent="0.2">
      <c r="A40" s="15" t="s">
        <v>72</v>
      </c>
      <c r="B40" t="s">
        <v>73</v>
      </c>
      <c r="C40">
        <v>6.3027049999999996</v>
      </c>
      <c r="D40">
        <f t="shared" si="0"/>
        <v>6.3027049999999996</v>
      </c>
      <c r="E40">
        <f t="shared" si="3"/>
        <v>5.6897064166666658</v>
      </c>
      <c r="F40">
        <v>5.8605612956352653</v>
      </c>
      <c r="H40">
        <f t="shared" si="2"/>
        <v>2016</v>
      </c>
      <c r="I40">
        <f>AVERAGE(F316:F327)</f>
        <v>0.45709936682297231</v>
      </c>
      <c r="J40">
        <f t="shared" si="1"/>
        <v>0.45709936682297231</v>
      </c>
      <c r="K40">
        <v>0.69523207499999995</v>
      </c>
      <c r="M40">
        <v>0.45709936682297231</v>
      </c>
      <c r="O40">
        <v>6.2052238333333323</v>
      </c>
      <c r="P40">
        <v>5.1741890000000001</v>
      </c>
      <c r="Q40">
        <v>5.4675000000000002</v>
      </c>
      <c r="R40">
        <v>6.2958333333333343</v>
      </c>
      <c r="S40">
        <v>5.057500000000001</v>
      </c>
      <c r="T40">
        <v>4.3833333333333337</v>
      </c>
      <c r="U40">
        <v>3.6033333333333335</v>
      </c>
      <c r="V40">
        <v>3.5634741166666664</v>
      </c>
      <c r="W40">
        <v>3.3305436499999996</v>
      </c>
      <c r="X40">
        <v>2.6772954416666668</v>
      </c>
      <c r="Y40">
        <v>2.66456655</v>
      </c>
      <c r="Z40">
        <v>2.0775202166666666</v>
      </c>
      <c r="AA40">
        <v>1.9907924333333336</v>
      </c>
      <c r="AB40">
        <v>1.2492079</v>
      </c>
      <c r="AC40">
        <v>1.6761817833333332</v>
      </c>
      <c r="AD40">
        <v>2.2067031333333333</v>
      </c>
      <c r="AE40">
        <v>1.0726784333333332</v>
      </c>
      <c r="AF40">
        <v>3.7286164083333335</v>
      </c>
      <c r="AG40">
        <v>2.1730711416666662</v>
      </c>
      <c r="AH40">
        <v>1.5996191</v>
      </c>
      <c r="AI40">
        <v>0.54765090000000005</v>
      </c>
      <c r="AJ40">
        <v>1.6617758999999996</v>
      </c>
      <c r="AK40">
        <v>1.8396830499999997</v>
      </c>
      <c r="AL40">
        <v>1.0841417250000001</v>
      </c>
      <c r="AM40">
        <v>0.69523207499999995</v>
      </c>
      <c r="AN40">
        <v>-0.36259942500000003</v>
      </c>
      <c r="AO40">
        <v>-0.49428047500000005</v>
      </c>
      <c r="AP40">
        <v>-0.607052025</v>
      </c>
      <c r="AQ40">
        <v>-3.6417241666666662E-2</v>
      </c>
      <c r="AR40">
        <v>0.12484654375000004</v>
      </c>
      <c r="AS40">
        <v>0.28611032916666673</v>
      </c>
      <c r="AT40">
        <v>0.44737411458333343</v>
      </c>
      <c r="AU40">
        <v>0.60863790000000018</v>
      </c>
      <c r="AV40">
        <v>1.0300078666666665</v>
      </c>
    </row>
    <row r="41" spans="1:48" x14ac:dyDescent="0.2">
      <c r="A41" s="15" t="s">
        <v>74</v>
      </c>
      <c r="B41" t="s">
        <v>75</v>
      </c>
      <c r="C41">
        <v>6.003037</v>
      </c>
      <c r="D41">
        <f t="shared" si="0"/>
        <v>6.003037</v>
      </c>
      <c r="E41">
        <f t="shared" si="3"/>
        <v>5.6096484999999996</v>
      </c>
      <c r="F41">
        <v>5.8456512592075631</v>
      </c>
      <c r="H41">
        <f t="shared" si="2"/>
        <v>2017</v>
      </c>
      <c r="I41">
        <f>AVERAGE(F328:F339)</f>
        <v>0.10193122493017193</v>
      </c>
      <c r="J41">
        <f t="shared" si="1"/>
        <v>0.10193122493017193</v>
      </c>
      <c r="K41">
        <v>-0.36259942500000003</v>
      </c>
      <c r="M41">
        <v>0.10193122493017193</v>
      </c>
    </row>
    <row r="42" spans="1:48" x14ac:dyDescent="0.2">
      <c r="A42" s="15" t="s">
        <v>76</v>
      </c>
      <c r="B42" t="s">
        <v>77</v>
      </c>
      <c r="C42">
        <v>5.9457820000000003</v>
      </c>
      <c r="D42">
        <f t="shared" si="0"/>
        <v>5.9457820000000003</v>
      </c>
      <c r="E42">
        <f t="shared" si="3"/>
        <v>5.5360238749999988</v>
      </c>
      <c r="F42">
        <v>5.8306584206986125</v>
      </c>
      <c r="H42">
        <f t="shared" si="2"/>
        <v>2018</v>
      </c>
      <c r="I42">
        <f>AVERAGE(F340:F351)</f>
        <v>-0.12710924028320983</v>
      </c>
      <c r="J42">
        <f t="shared" si="1"/>
        <v>-0.12710924028320983</v>
      </c>
      <c r="K42">
        <v>-0.49428047500000005</v>
      </c>
      <c r="M42">
        <v>-0.12710924028320983</v>
      </c>
    </row>
    <row r="43" spans="1:48" x14ac:dyDescent="0.2">
      <c r="A43" s="15" t="s">
        <v>78</v>
      </c>
      <c r="B43" t="s">
        <v>79</v>
      </c>
      <c r="C43">
        <v>5.9558840000000002</v>
      </c>
      <c r="D43">
        <f t="shared" si="0"/>
        <v>5.9558840000000002</v>
      </c>
      <c r="E43">
        <f t="shared" si="3"/>
        <v>5.505557500000001</v>
      </c>
      <c r="F43">
        <v>5.8156032628670262</v>
      </c>
      <c r="H43">
        <f t="shared" si="2"/>
        <v>2019</v>
      </c>
      <c r="I43">
        <f>AVERAGE(F352:F363)</f>
        <v>-0.17816183861709722</v>
      </c>
      <c r="J43">
        <f t="shared" si="1"/>
        <v>-0.17816183861709722</v>
      </c>
      <c r="K43">
        <v>-0.607052025</v>
      </c>
      <c r="M43">
        <v>-0.17816183861709722</v>
      </c>
    </row>
    <row r="44" spans="1:48" x14ac:dyDescent="0.2">
      <c r="A44" s="15" t="s">
        <v>80</v>
      </c>
      <c r="B44" t="s">
        <v>81</v>
      </c>
      <c r="C44">
        <v>5.9422940000000004</v>
      </c>
      <c r="D44">
        <f t="shared" si="0"/>
        <v>5.9422940000000004</v>
      </c>
      <c r="E44">
        <f t="shared" si="3"/>
        <v>5.4779279583333347</v>
      </c>
      <c r="F44">
        <v>5.8005071567706388</v>
      </c>
      <c r="H44">
        <f t="shared" si="2"/>
        <v>2020</v>
      </c>
      <c r="I44">
        <f>AVERAGE(F364:F375)</f>
        <v>-5.9764754189200242E-2</v>
      </c>
      <c r="J44">
        <f>I44</f>
        <v>-5.9764754189200242E-2</v>
      </c>
      <c r="K44">
        <v>-3.6417241666666662E-2</v>
      </c>
      <c r="M44">
        <v>-5.9764754189200242E-2</v>
      </c>
    </row>
    <row r="45" spans="1:48" x14ac:dyDescent="0.2">
      <c r="A45" s="15" t="s">
        <v>82</v>
      </c>
      <c r="B45" t="s">
        <v>83</v>
      </c>
      <c r="C45">
        <v>5.6796230000000003</v>
      </c>
      <c r="D45">
        <f t="shared" si="0"/>
        <v>5.6796230000000003</v>
      </c>
      <c r="E45">
        <f t="shared" si="3"/>
        <v>5.4516922916666672</v>
      </c>
      <c r="F45">
        <v>5.7853925558803807</v>
      </c>
      <c r="H45">
        <f t="shared" si="2"/>
        <v>2021</v>
      </c>
      <c r="I45">
        <f>AVERAGE(F376:F387)</f>
        <v>0.16017317700998218</v>
      </c>
      <c r="J45">
        <f>J44+($I$48-$I$44)/($H$48-$H$44)</f>
        <v>0.1613378190663346</v>
      </c>
      <c r="K45">
        <v>0.12484654375000004</v>
      </c>
      <c r="M45">
        <v>0.16017317700998218</v>
      </c>
    </row>
    <row r="46" spans="1:48" x14ac:dyDescent="0.2">
      <c r="A46" s="15" t="s">
        <v>84</v>
      </c>
      <c r="B46" t="s">
        <v>85</v>
      </c>
      <c r="C46">
        <v>5.1018280000000003</v>
      </c>
      <c r="D46">
        <f t="shared" si="0"/>
        <v>5.1018280000000003</v>
      </c>
      <c r="E46">
        <f t="shared" si="3"/>
        <v>5.4410487083333336</v>
      </c>
      <c r="F46">
        <v>5.770283007701468</v>
      </c>
      <c r="H46">
        <f t="shared" si="2"/>
        <v>2022</v>
      </c>
      <c r="I46">
        <f>AVERAGE(F388:F399)</f>
        <v>0.40562810113448977</v>
      </c>
      <c r="J46">
        <f t="shared" ref="J46:J48" si="4">J45+($I$48-$I$44)/($H$48-$H$44)</f>
        <v>0.38244039232186944</v>
      </c>
      <c r="K46">
        <v>0.28611032916666673</v>
      </c>
      <c r="M46">
        <v>0.40562810113448977</v>
      </c>
    </row>
    <row r="47" spans="1:48" x14ac:dyDescent="0.2">
      <c r="A47" s="15" t="s">
        <v>86</v>
      </c>
      <c r="B47" t="s">
        <v>87</v>
      </c>
      <c r="C47">
        <v>4.6197429999999997</v>
      </c>
      <c r="D47">
        <f t="shared" si="0"/>
        <v>4.6197429999999997</v>
      </c>
      <c r="E47">
        <f t="shared" si="3"/>
        <v>5.401753291666668</v>
      </c>
      <c r="F47">
        <v>5.7552012436160016</v>
      </c>
      <c r="H47">
        <f t="shared" si="2"/>
        <v>2023</v>
      </c>
      <c r="I47">
        <f>AVERAGE(F400:F411)</f>
        <v>0.63087657940652642</v>
      </c>
      <c r="J47">
        <f t="shared" si="4"/>
        <v>0.60354296557740428</v>
      </c>
      <c r="K47">
        <v>0.44737411458333343</v>
      </c>
      <c r="M47">
        <v>0.63087657940652642</v>
      </c>
    </row>
    <row r="48" spans="1:48" x14ac:dyDescent="0.2">
      <c r="A48" s="15" t="s">
        <v>88</v>
      </c>
      <c r="B48" t="s">
        <v>89</v>
      </c>
      <c r="C48">
        <v>4.3120000000000003</v>
      </c>
      <c r="D48">
        <f t="shared" si="0"/>
        <v>4.3120000000000003</v>
      </c>
      <c r="E48">
        <f t="shared" si="3"/>
        <v>5.3675299583333347</v>
      </c>
      <c r="F48">
        <v>5.7401648371742313</v>
      </c>
      <c r="H48">
        <f t="shared" si="2"/>
        <v>2024</v>
      </c>
      <c r="I48">
        <f>AVERAGE(F412:F423)</f>
        <v>0.82464553883293912</v>
      </c>
      <c r="J48">
        <f t="shared" si="4"/>
        <v>0.82464553883293912</v>
      </c>
      <c r="K48">
        <v>0.60863790000000018</v>
      </c>
      <c r="M48">
        <v>0.82464553883293912</v>
      </c>
    </row>
    <row r="49" spans="1:13" x14ac:dyDescent="0.2">
      <c r="A49" s="15" t="s">
        <v>90</v>
      </c>
      <c r="B49" t="s">
        <v>91</v>
      </c>
      <c r="C49">
        <v>4.061458</v>
      </c>
      <c r="D49">
        <f t="shared" si="0"/>
        <v>4.061458</v>
      </c>
      <c r="E49">
        <f t="shared" si="3"/>
        <v>5.354952458333333</v>
      </c>
      <c r="F49">
        <v>5.7251826006745281</v>
      </c>
      <c r="H49">
        <f t="shared" si="2"/>
        <v>2025</v>
      </c>
      <c r="I49">
        <f>AVERAGE(F424:F435)</f>
        <v>1.0018772409554424</v>
      </c>
      <c r="J49">
        <f>I49</f>
        <v>1.0018772409554424</v>
      </c>
      <c r="K49">
        <v>1.0300078666666665</v>
      </c>
      <c r="M49">
        <v>1.0018772409554424</v>
      </c>
    </row>
    <row r="50" spans="1:13" x14ac:dyDescent="0.2">
      <c r="A50" s="15" t="s">
        <v>92</v>
      </c>
      <c r="B50" t="s">
        <v>93</v>
      </c>
      <c r="C50">
        <v>4.1806359999999998</v>
      </c>
      <c r="D50">
        <f t="shared" si="0"/>
        <v>4.1806359999999998</v>
      </c>
      <c r="E50">
        <f t="shared" si="3"/>
        <v>5.3355987083333334</v>
      </c>
      <c r="F50">
        <v>5.7102523266248522</v>
      </c>
    </row>
    <row r="51" spans="1:13" x14ac:dyDescent="0.2">
      <c r="A51" s="15" t="s">
        <v>94</v>
      </c>
      <c r="B51" t="s">
        <v>95</v>
      </c>
      <c r="C51">
        <v>3.9852780000000001</v>
      </c>
      <c r="D51">
        <f t="shared" si="0"/>
        <v>3.9852780000000001</v>
      </c>
      <c r="E51">
        <f t="shared" si="3"/>
        <v>5.3288778750000008</v>
      </c>
      <c r="F51">
        <v>5.6953589701519869</v>
      </c>
    </row>
    <row r="52" spans="1:13" x14ac:dyDescent="0.2">
      <c r="A52" s="15" t="s">
        <v>96</v>
      </c>
      <c r="B52" t="s">
        <v>97</v>
      </c>
      <c r="C52">
        <v>3.79</v>
      </c>
      <c r="D52">
        <f t="shared" si="0"/>
        <v>3.79</v>
      </c>
      <c r="E52">
        <f t="shared" si="3"/>
        <v>5.3208445000000015</v>
      </c>
      <c r="F52">
        <v>5.6804756837876038</v>
      </c>
    </row>
    <row r="53" spans="1:13" x14ac:dyDescent="0.2">
      <c r="A53" s="15" t="s">
        <v>98</v>
      </c>
      <c r="B53" t="s">
        <v>99</v>
      </c>
      <c r="C53">
        <v>3.98</v>
      </c>
      <c r="D53">
        <f t="shared" si="0"/>
        <v>3.98</v>
      </c>
      <c r="E53">
        <f t="shared" si="3"/>
        <v>5.3473984583333349</v>
      </c>
      <c r="F53">
        <v>5.6655624249941603</v>
      </c>
    </row>
    <row r="54" spans="1:13" x14ac:dyDescent="0.2">
      <c r="A54" s="15" t="s">
        <v>100</v>
      </c>
      <c r="B54" t="s">
        <v>101</v>
      </c>
      <c r="C54">
        <v>4.55</v>
      </c>
      <c r="D54">
        <f t="shared" si="0"/>
        <v>4.55</v>
      </c>
      <c r="E54">
        <f t="shared" si="3"/>
        <v>5.3801885833333349</v>
      </c>
      <c r="F54">
        <v>5.6505645642303817</v>
      </c>
    </row>
    <row r="55" spans="1:13" x14ac:dyDescent="0.2">
      <c r="A55" s="15" t="s">
        <v>102</v>
      </c>
      <c r="B55" t="s">
        <v>103</v>
      </c>
      <c r="C55">
        <v>4.76</v>
      </c>
      <c r="D55">
        <f t="shared" si="0"/>
        <v>4.76</v>
      </c>
      <c r="E55">
        <f t="shared" si="3"/>
        <v>5.4211976666666679</v>
      </c>
      <c r="F55">
        <v>5.635414466072084</v>
      </c>
    </row>
    <row r="56" spans="1:13" x14ac:dyDescent="0.2">
      <c r="A56" s="15" t="s">
        <v>104</v>
      </c>
      <c r="B56" t="s">
        <v>105</v>
      </c>
      <c r="C56">
        <v>4.95</v>
      </c>
      <c r="D56">
        <f t="shared" si="0"/>
        <v>4.95</v>
      </c>
      <c r="E56">
        <f t="shared" si="3"/>
        <v>5.4505358333333342</v>
      </c>
      <c r="F56">
        <v>5.6200360030845555</v>
      </c>
    </row>
    <row r="57" spans="1:13" x14ac:dyDescent="0.2">
      <c r="A57" s="15" t="s">
        <v>106</v>
      </c>
      <c r="B57" t="s">
        <v>107</v>
      </c>
      <c r="C57">
        <v>5.67</v>
      </c>
      <c r="D57">
        <f t="shared" si="0"/>
        <v>5.67</v>
      </c>
      <c r="E57">
        <f t="shared" si="3"/>
        <v>5.4687735833333342</v>
      </c>
      <c r="F57">
        <v>5.6043462930918349</v>
      </c>
    </row>
    <row r="58" spans="1:13" x14ac:dyDescent="0.2">
      <c r="A58" s="15" t="s">
        <v>108</v>
      </c>
      <c r="B58" t="s">
        <v>109</v>
      </c>
      <c r="C58">
        <v>5.79</v>
      </c>
      <c r="D58">
        <f t="shared" si="0"/>
        <v>5.79</v>
      </c>
      <c r="E58">
        <f t="shared" si="3"/>
        <v>5.4883726250000002</v>
      </c>
      <c r="F58">
        <v>5.5882572838870717</v>
      </c>
    </row>
    <row r="59" spans="1:13" x14ac:dyDescent="0.2">
      <c r="A59" s="15" t="s">
        <v>110</v>
      </c>
      <c r="B59" t="s">
        <v>111</v>
      </c>
      <c r="C59">
        <v>5.98</v>
      </c>
      <c r="D59">
        <f t="shared" si="0"/>
        <v>5.98</v>
      </c>
      <c r="E59">
        <f t="shared" si="3"/>
        <v>5.538713125000001</v>
      </c>
      <c r="F59">
        <v>5.5716814298506581</v>
      </c>
    </row>
    <row r="60" spans="1:13" x14ac:dyDescent="0.2">
      <c r="A60" s="15" t="s">
        <v>112</v>
      </c>
      <c r="B60" t="s">
        <v>113</v>
      </c>
      <c r="C60">
        <v>6.42</v>
      </c>
      <c r="D60">
        <f t="shared" si="0"/>
        <v>6.42</v>
      </c>
      <c r="E60">
        <f t="shared" si="3"/>
        <v>5.6033071666666672</v>
      </c>
      <c r="F60">
        <v>5.5545327420197479</v>
      </c>
    </row>
    <row r="61" spans="1:13" x14ac:dyDescent="0.2">
      <c r="A61" s="15" t="s">
        <v>114</v>
      </c>
      <c r="B61" t="s">
        <v>115</v>
      </c>
      <c r="C61">
        <v>6.56</v>
      </c>
      <c r="D61">
        <f t="shared" si="0"/>
        <v>6.56</v>
      </c>
      <c r="E61">
        <f t="shared" si="3"/>
        <v>5.6719738333333334</v>
      </c>
      <c r="F61">
        <v>5.5367283820377464</v>
      </c>
    </row>
    <row r="62" spans="1:13" x14ac:dyDescent="0.2">
      <c r="A62" s="15" t="s">
        <v>116</v>
      </c>
      <c r="B62" t="s">
        <v>117</v>
      </c>
      <c r="C62">
        <v>6.62</v>
      </c>
      <c r="D62">
        <f t="shared" si="0"/>
        <v>6.62</v>
      </c>
      <c r="E62">
        <f t="shared" si="3"/>
        <v>5.7560797500000014</v>
      </c>
      <c r="F62">
        <v>5.5181921895361601</v>
      </c>
    </row>
    <row r="63" spans="1:13" x14ac:dyDescent="0.2">
      <c r="A63" s="15" t="s">
        <v>118</v>
      </c>
      <c r="B63" t="s">
        <v>119</v>
      </c>
      <c r="C63">
        <v>6.54</v>
      </c>
      <c r="D63">
        <f t="shared" si="0"/>
        <v>6.54</v>
      </c>
      <c r="E63">
        <f t="shared" si="3"/>
        <v>5.8218865833333338</v>
      </c>
      <c r="F63">
        <v>5.4988558997608328</v>
      </c>
    </row>
    <row r="64" spans="1:13" x14ac:dyDescent="0.2">
      <c r="A64" s="15" t="s">
        <v>120</v>
      </c>
      <c r="B64" t="s">
        <v>121</v>
      </c>
      <c r="C64">
        <v>6.94</v>
      </c>
      <c r="D64">
        <f t="shared" si="0"/>
        <v>6.94</v>
      </c>
      <c r="E64">
        <f t="shared" si="3"/>
        <v>5.8816666666666668</v>
      </c>
      <c r="F64">
        <v>5.4786597495610838</v>
      </c>
    </row>
    <row r="65" spans="1:6" x14ac:dyDescent="0.2">
      <c r="A65" s="15" t="s">
        <v>122</v>
      </c>
      <c r="B65" t="s">
        <v>123</v>
      </c>
      <c r="C65">
        <v>6.79</v>
      </c>
      <c r="D65">
        <f t="shared" si="0"/>
        <v>6.79</v>
      </c>
      <c r="E65">
        <f t="shared" si="3"/>
        <v>5.933749999999999</v>
      </c>
      <c r="F65">
        <v>5.4575520093055241</v>
      </c>
    </row>
    <row r="66" spans="1:6" x14ac:dyDescent="0.2">
      <c r="A66" s="15" t="s">
        <v>124</v>
      </c>
      <c r="B66" t="s">
        <v>125</v>
      </c>
      <c r="C66">
        <v>6.93</v>
      </c>
      <c r="D66">
        <f t="shared" si="0"/>
        <v>6.93</v>
      </c>
      <c r="E66">
        <f t="shared" si="3"/>
        <v>5.9870833333333318</v>
      </c>
      <c r="F66">
        <v>5.4354922251363016</v>
      </c>
    </row>
    <row r="67" spans="1:6" x14ac:dyDescent="0.2">
      <c r="A67" s="15" t="s">
        <v>126</v>
      </c>
      <c r="B67" t="s">
        <v>127</v>
      </c>
      <c r="C67">
        <v>6.66</v>
      </c>
      <c r="D67">
        <f t="shared" si="0"/>
        <v>6.66</v>
      </c>
      <c r="E67">
        <f t="shared" si="3"/>
        <v>6.0237499999999988</v>
      </c>
      <c r="F67">
        <v>5.4124502244300619</v>
      </c>
    </row>
    <row r="68" spans="1:6" x14ac:dyDescent="0.2">
      <c r="A68" s="15" t="s">
        <v>128</v>
      </c>
      <c r="B68" t="s">
        <v>129</v>
      </c>
      <c r="C68">
        <v>6.38</v>
      </c>
      <c r="D68">
        <f t="shared" si="0"/>
        <v>6.38</v>
      </c>
      <c r="E68">
        <f t="shared" si="3"/>
        <v>6.0429166666666667</v>
      </c>
      <c r="F68">
        <v>5.3884073662592415</v>
      </c>
    </row>
    <row r="69" spans="1:6" x14ac:dyDescent="0.2">
      <c r="A69" s="15" t="s">
        <v>130</v>
      </c>
      <c r="B69" t="s">
        <v>131</v>
      </c>
      <c r="C69">
        <v>6.15</v>
      </c>
      <c r="D69">
        <f t="shared" si="0"/>
        <v>6.15</v>
      </c>
      <c r="E69">
        <f t="shared" si="3"/>
        <v>6.0441666666666665</v>
      </c>
      <c r="F69">
        <v>5.3633546358519562</v>
      </c>
    </row>
    <row r="70" spans="1:6" x14ac:dyDescent="0.2">
      <c r="A70" s="15" t="s">
        <v>132</v>
      </c>
      <c r="B70" t="s">
        <v>133</v>
      </c>
      <c r="C70">
        <v>6.31</v>
      </c>
      <c r="D70">
        <f t="shared" si="0"/>
        <v>6.31</v>
      </c>
      <c r="E70">
        <f t="shared" si="3"/>
        <v>6.0333333333333323</v>
      </c>
      <c r="F70">
        <v>5.337290669614049</v>
      </c>
    </row>
    <row r="71" spans="1:6" x14ac:dyDescent="0.2">
      <c r="A71" s="15" t="s">
        <v>134</v>
      </c>
      <c r="B71" t="s">
        <v>135</v>
      </c>
      <c r="C71">
        <v>6.17</v>
      </c>
      <c r="D71">
        <f t="shared" si="0"/>
        <v>6.17</v>
      </c>
      <c r="E71">
        <f t="shared" si="3"/>
        <v>6.0124999999999993</v>
      </c>
      <c r="F71">
        <v>5.3102201737458392</v>
      </c>
    </row>
    <row r="72" spans="1:6" x14ac:dyDescent="0.2">
      <c r="A72" s="15" t="s">
        <v>136</v>
      </c>
      <c r="B72" t="s">
        <v>137</v>
      </c>
      <c r="C72">
        <v>5.96</v>
      </c>
      <c r="D72">
        <f t="shared" si="0"/>
        <v>5.96</v>
      </c>
      <c r="E72">
        <f t="shared" si="3"/>
        <v>5.984583333333334</v>
      </c>
      <c r="F72">
        <v>5.282155359920873</v>
      </c>
    </row>
    <row r="73" spans="1:6" x14ac:dyDescent="0.2">
      <c r="A73" s="15" t="s">
        <v>138</v>
      </c>
      <c r="B73" t="s">
        <v>139</v>
      </c>
      <c r="C73">
        <v>6.08</v>
      </c>
      <c r="D73">
        <f t="shared" si="0"/>
        <v>6.08</v>
      </c>
      <c r="E73">
        <f t="shared" si="3"/>
        <v>5.930833333333335</v>
      </c>
      <c r="F73">
        <v>5.2531150739162928</v>
      </c>
    </row>
    <row r="74" spans="1:6" x14ac:dyDescent="0.2">
      <c r="A74" s="15" t="s">
        <v>140</v>
      </c>
      <c r="B74" t="s">
        <v>141</v>
      </c>
      <c r="C74">
        <v>5.76</v>
      </c>
      <c r="D74">
        <f t="shared" si="0"/>
        <v>5.76</v>
      </c>
      <c r="E74">
        <f t="shared" si="3"/>
        <v>5.8525000000000018</v>
      </c>
      <c r="F74">
        <v>5.2231233917919591</v>
      </c>
    </row>
    <row r="75" spans="1:6" x14ac:dyDescent="0.2">
      <c r="A75" s="15" t="s">
        <v>142</v>
      </c>
      <c r="B75" t="s">
        <v>143</v>
      </c>
      <c r="C75">
        <v>5.42</v>
      </c>
      <c r="D75">
        <f t="shared" si="0"/>
        <v>5.42</v>
      </c>
      <c r="E75">
        <f t="shared" si="3"/>
        <v>5.7654166666666677</v>
      </c>
      <c r="F75">
        <v>5.1922107698926547</v>
      </c>
    </row>
    <row r="76" spans="1:6" x14ac:dyDescent="0.2">
      <c r="A76" s="15" t="s">
        <v>144</v>
      </c>
      <c r="B76" t="s">
        <v>145</v>
      </c>
      <c r="C76">
        <v>5.04</v>
      </c>
      <c r="D76">
        <f t="shared" si="0"/>
        <v>5.04</v>
      </c>
      <c r="E76">
        <f t="shared" si="3"/>
        <v>5.6766666666666685</v>
      </c>
      <c r="F76">
        <v>5.1604118071295844</v>
      </c>
    </row>
    <row r="77" spans="1:6" x14ac:dyDescent="0.2">
      <c r="A77" s="15" t="s">
        <v>146</v>
      </c>
      <c r="B77" t="s">
        <v>147</v>
      </c>
      <c r="C77">
        <v>5.26</v>
      </c>
      <c r="D77">
        <f t="shared" si="0"/>
        <v>5.26</v>
      </c>
      <c r="E77">
        <f t="shared" si="3"/>
        <v>5.5637499999999998</v>
      </c>
      <c r="F77">
        <v>5.1277628600468983</v>
      </c>
    </row>
    <row r="78" spans="1:6" x14ac:dyDescent="0.2">
      <c r="A78" s="15" t="s">
        <v>148</v>
      </c>
      <c r="B78" t="s">
        <v>149</v>
      </c>
      <c r="C78">
        <v>5.43</v>
      </c>
      <c r="D78">
        <f t="shared" si="0"/>
        <v>5.43</v>
      </c>
      <c r="E78">
        <f t="shared" si="3"/>
        <v>5.4583333333333348</v>
      </c>
      <c r="F78">
        <v>5.0942993560852994</v>
      </c>
    </row>
    <row r="79" spans="1:6" x14ac:dyDescent="0.2">
      <c r="A79" s="15" t="s">
        <v>150</v>
      </c>
      <c r="B79" t="s">
        <v>151</v>
      </c>
      <c r="C79">
        <v>5.22</v>
      </c>
      <c r="D79">
        <f t="shared" si="0"/>
        <v>5.22</v>
      </c>
      <c r="E79">
        <f t="shared" si="3"/>
        <v>5.3662500000000009</v>
      </c>
      <c r="F79">
        <v>5.0600577430337923</v>
      </c>
    </row>
    <row r="80" spans="1:6" x14ac:dyDescent="0.2">
      <c r="A80" s="15" t="s">
        <v>152</v>
      </c>
      <c r="B80" t="s">
        <v>153</v>
      </c>
      <c r="C80">
        <v>4.9800000000000004</v>
      </c>
      <c r="D80">
        <f t="shared" si="0"/>
        <v>4.9800000000000004</v>
      </c>
      <c r="E80">
        <f t="shared" si="3"/>
        <v>5.3008333333333333</v>
      </c>
      <c r="F80">
        <v>5.0250770589641283</v>
      </c>
    </row>
    <row r="81" spans="1:6" x14ac:dyDescent="0.2">
      <c r="A81" s="15" t="s">
        <v>154</v>
      </c>
      <c r="B81" t="s">
        <v>155</v>
      </c>
      <c r="C81">
        <v>5.41</v>
      </c>
      <c r="D81">
        <f t="shared" ref="D81:D144" si="5">C81</f>
        <v>5.41</v>
      </c>
      <c r="E81">
        <f t="shared" si="3"/>
        <v>5.2341666666666669</v>
      </c>
      <c r="F81">
        <v>4.9893975760704112</v>
      </c>
    </row>
    <row r="82" spans="1:6" x14ac:dyDescent="0.2">
      <c r="A82" s="15" t="s">
        <v>156</v>
      </c>
      <c r="B82" t="s">
        <v>157</v>
      </c>
      <c r="C82">
        <v>5.29</v>
      </c>
      <c r="D82">
        <f t="shared" si="5"/>
        <v>5.29</v>
      </c>
      <c r="E82">
        <f t="shared" si="3"/>
        <v>5.1733333333333329</v>
      </c>
      <c r="F82">
        <v>4.9530592187299334</v>
      </c>
    </row>
    <row r="83" spans="1:6" x14ac:dyDescent="0.2">
      <c r="A83" s="15" t="s">
        <v>158</v>
      </c>
      <c r="B83" t="s">
        <v>159</v>
      </c>
      <c r="C83">
        <v>5.31</v>
      </c>
      <c r="D83">
        <f t="shared" si="5"/>
        <v>5.31</v>
      </c>
      <c r="E83">
        <f t="shared" si="3"/>
        <v>5.0908333333333333</v>
      </c>
      <c r="F83">
        <v>4.9161051567090608</v>
      </c>
    </row>
    <row r="84" spans="1:6" x14ac:dyDescent="0.2">
      <c r="A84" s="15" t="s">
        <v>160</v>
      </c>
      <c r="B84" t="s">
        <v>161</v>
      </c>
      <c r="C84">
        <v>5.13</v>
      </c>
      <c r="D84">
        <f t="shared" si="5"/>
        <v>5.13</v>
      </c>
      <c r="E84">
        <f t="shared" si="3"/>
        <v>5.0104166666666652</v>
      </c>
      <c r="F84">
        <v>4.8785811596258668</v>
      </c>
    </row>
    <row r="85" spans="1:6" x14ac:dyDescent="0.2">
      <c r="A85" s="15" t="s">
        <v>162</v>
      </c>
      <c r="B85" t="s">
        <v>163</v>
      </c>
      <c r="C85">
        <v>4.68</v>
      </c>
      <c r="D85">
        <f t="shared" si="5"/>
        <v>4.68</v>
      </c>
      <c r="E85">
        <f t="shared" si="3"/>
        <v>4.9312499999999995</v>
      </c>
      <c r="F85">
        <v>4.8405360364104864</v>
      </c>
    </row>
    <row r="86" spans="1:6" x14ac:dyDescent="0.2">
      <c r="A86" s="15" t="s">
        <v>164</v>
      </c>
      <c r="B86" t="s">
        <v>165</v>
      </c>
      <c r="C86">
        <v>4.53</v>
      </c>
      <c r="D86">
        <f t="shared" si="5"/>
        <v>4.53</v>
      </c>
      <c r="E86">
        <f t="shared" si="3"/>
        <v>4.8549999999999995</v>
      </c>
      <c r="F86">
        <v>4.8020205359532424</v>
      </c>
    </row>
    <row r="87" spans="1:6" x14ac:dyDescent="0.2">
      <c r="A87" s="15" t="s">
        <v>166</v>
      </c>
      <c r="B87" t="s">
        <v>167</v>
      </c>
      <c r="C87">
        <v>4.41</v>
      </c>
      <c r="D87">
        <f t="shared" si="5"/>
        <v>4.41</v>
      </c>
      <c r="E87">
        <f t="shared" si="3"/>
        <v>4.78125</v>
      </c>
      <c r="F87">
        <v>4.7630841684404741</v>
      </c>
    </row>
    <row r="88" spans="1:6" x14ac:dyDescent="0.2">
      <c r="A88" s="15" t="s">
        <v>168</v>
      </c>
      <c r="B88" t="s">
        <v>169</v>
      </c>
      <c r="C88">
        <v>4.2300000000000004</v>
      </c>
      <c r="D88">
        <f t="shared" si="5"/>
        <v>4.2300000000000004</v>
      </c>
      <c r="E88">
        <f t="shared" si="3"/>
        <v>4.7204166666666669</v>
      </c>
      <c r="F88">
        <v>4.7237743451346299</v>
      </c>
    </row>
    <row r="89" spans="1:6" x14ac:dyDescent="0.2">
      <c r="A89" s="15" t="s">
        <v>170</v>
      </c>
      <c r="B89" t="s">
        <v>171</v>
      </c>
      <c r="C89">
        <v>4.26</v>
      </c>
      <c r="D89">
        <f t="shared" si="5"/>
        <v>4.26</v>
      </c>
      <c r="E89">
        <f t="shared" si="3"/>
        <v>4.6820833333333338</v>
      </c>
      <c r="F89">
        <v>4.6841357528832788</v>
      </c>
    </row>
    <row r="90" spans="1:6" x14ac:dyDescent="0.2">
      <c r="A90" s="15" t="s">
        <v>172</v>
      </c>
      <c r="B90" t="s">
        <v>173</v>
      </c>
      <c r="C90">
        <v>4.72</v>
      </c>
      <c r="D90">
        <f t="shared" si="5"/>
        <v>4.72</v>
      </c>
      <c r="E90">
        <f t="shared" si="3"/>
        <v>4.6304166666666662</v>
      </c>
      <c r="F90">
        <v>4.6442092685467582</v>
      </c>
    </row>
    <row r="91" spans="1:6" x14ac:dyDescent="0.2">
      <c r="A91" s="15" t="s">
        <v>174</v>
      </c>
      <c r="B91" t="s">
        <v>175</v>
      </c>
      <c r="C91">
        <v>5.09</v>
      </c>
      <c r="D91">
        <f t="shared" si="5"/>
        <v>5.09</v>
      </c>
      <c r="E91">
        <f t="shared" si="3"/>
        <v>4.5670833333333318</v>
      </c>
      <c r="F91">
        <v>4.6040324963329908</v>
      </c>
    </row>
    <row r="92" spans="1:6" x14ac:dyDescent="0.2">
      <c r="A92" s="15" t="s">
        <v>176</v>
      </c>
      <c r="B92" t="s">
        <v>177</v>
      </c>
      <c r="C92">
        <v>4.78</v>
      </c>
      <c r="D92">
        <f t="shared" si="5"/>
        <v>4.78</v>
      </c>
      <c r="E92">
        <f t="shared" si="3"/>
        <v>4.4995833333333319</v>
      </c>
      <c r="F92">
        <v>4.5636436252549277</v>
      </c>
    </row>
    <row r="93" spans="1:6" x14ac:dyDescent="0.2">
      <c r="A93" s="15" t="s">
        <v>178</v>
      </c>
      <c r="B93" t="s">
        <v>179</v>
      </c>
      <c r="C93">
        <v>4.6900000000000004</v>
      </c>
      <c r="D93">
        <f t="shared" si="5"/>
        <v>4.6900000000000004</v>
      </c>
      <c r="E93">
        <f t="shared" ref="E93:E156" si="6">AVERAGE(C81:C104)</f>
        <v>4.4487499999999986</v>
      </c>
      <c r="F93">
        <v>4.5230845940747759</v>
      </c>
    </row>
    <row r="94" spans="1:6" x14ac:dyDescent="0.2">
      <c r="A94" s="15" t="s">
        <v>180</v>
      </c>
      <c r="B94" t="s">
        <v>181</v>
      </c>
      <c r="C94">
        <v>4.33</v>
      </c>
      <c r="D94">
        <f t="shared" si="5"/>
        <v>4.33</v>
      </c>
      <c r="E94">
        <f t="shared" si="6"/>
        <v>4.3737499999999985</v>
      </c>
      <c r="F94">
        <v>4.482399010971216</v>
      </c>
    </row>
    <row r="95" spans="1:6" x14ac:dyDescent="0.2">
      <c r="A95" s="15" t="s">
        <v>182</v>
      </c>
      <c r="B95" t="s">
        <v>183</v>
      </c>
      <c r="C95">
        <v>4.24</v>
      </c>
      <c r="D95">
        <f t="shared" si="5"/>
        <v>4.24</v>
      </c>
      <c r="E95">
        <f t="shared" si="6"/>
        <v>4.2999999999999989</v>
      </c>
      <c r="F95">
        <v>4.4416317720504424</v>
      </c>
    </row>
    <row r="96" spans="1:6" x14ac:dyDescent="0.2">
      <c r="A96" s="15" t="s">
        <v>184</v>
      </c>
      <c r="B96" t="s">
        <v>185</v>
      </c>
      <c r="C96">
        <v>4.0599999999999996</v>
      </c>
      <c r="D96">
        <f t="shared" si="5"/>
        <v>4.0599999999999996</v>
      </c>
      <c r="E96">
        <f t="shared" si="6"/>
        <v>4.2241666666666662</v>
      </c>
      <c r="F96">
        <v>4.4008265975003562</v>
      </c>
    </row>
    <row r="97" spans="1:6" x14ac:dyDescent="0.2">
      <c r="A97" s="15" t="s">
        <v>186</v>
      </c>
      <c r="B97" t="s">
        <v>187</v>
      </c>
      <c r="C97">
        <v>4.25</v>
      </c>
      <c r="D97">
        <f t="shared" si="5"/>
        <v>4.25</v>
      </c>
      <c r="E97">
        <f t="shared" si="6"/>
        <v>4.1466666666666656</v>
      </c>
      <c r="F97">
        <v>4.3600256517081482</v>
      </c>
    </row>
    <row r="98" spans="1:6" x14ac:dyDescent="0.2">
      <c r="A98" s="15" t="s">
        <v>188</v>
      </c>
      <c r="B98" t="s">
        <v>189</v>
      </c>
      <c r="C98">
        <v>3.99</v>
      </c>
      <c r="D98">
        <f t="shared" si="5"/>
        <v>3.99</v>
      </c>
      <c r="E98">
        <f t="shared" si="6"/>
        <v>4.0912499999999987</v>
      </c>
      <c r="F98">
        <v>4.3192684692261514</v>
      </c>
    </row>
    <row r="99" spans="1:6" x14ac:dyDescent="0.2">
      <c r="A99" s="15" t="s">
        <v>190</v>
      </c>
      <c r="B99" t="s">
        <v>191</v>
      </c>
      <c r="C99">
        <v>3.96</v>
      </c>
      <c r="D99">
        <f t="shared" si="5"/>
        <v>3.96</v>
      </c>
      <c r="E99">
        <f t="shared" si="6"/>
        <v>4.0458333333333325</v>
      </c>
      <c r="F99">
        <v>4.2785937356433372</v>
      </c>
    </row>
    <row r="100" spans="1:6" x14ac:dyDescent="0.2">
      <c r="A100" s="15" t="s">
        <v>192</v>
      </c>
      <c r="B100" t="s">
        <v>193</v>
      </c>
      <c r="C100">
        <v>4.12</v>
      </c>
      <c r="D100">
        <f t="shared" si="5"/>
        <v>4.12</v>
      </c>
      <c r="E100">
        <f t="shared" si="6"/>
        <v>3.9933333333333327</v>
      </c>
      <c r="F100">
        <v>4.238037595896909</v>
      </c>
    </row>
    <row r="101" spans="1:6" x14ac:dyDescent="0.2">
      <c r="A101" s="15" t="s">
        <v>194</v>
      </c>
      <c r="B101" t="s">
        <v>195</v>
      </c>
      <c r="C101">
        <v>4.0199999999999996</v>
      </c>
      <c r="D101">
        <f t="shared" si="5"/>
        <v>4.0199999999999996</v>
      </c>
      <c r="E101">
        <f t="shared" si="6"/>
        <v>3.9429999416666663</v>
      </c>
      <c r="F101">
        <v>4.197633736639073</v>
      </c>
    </row>
    <row r="102" spans="1:6" x14ac:dyDescent="0.2">
      <c r="A102" s="15" t="s">
        <v>196</v>
      </c>
      <c r="B102" t="s">
        <v>197</v>
      </c>
      <c r="C102">
        <v>3.91</v>
      </c>
      <c r="D102">
        <f t="shared" si="5"/>
        <v>3.91</v>
      </c>
      <c r="E102">
        <f t="shared" si="6"/>
        <v>3.9019266166666657</v>
      </c>
      <c r="F102">
        <v>4.1574149337381181</v>
      </c>
    </row>
    <row r="103" spans="1:6" x14ac:dyDescent="0.2">
      <c r="A103" s="15" t="s">
        <v>198</v>
      </c>
      <c r="B103" t="s">
        <v>199</v>
      </c>
      <c r="C103">
        <v>3.6</v>
      </c>
      <c r="D103">
        <f t="shared" si="5"/>
        <v>3.6</v>
      </c>
      <c r="E103">
        <f t="shared" si="6"/>
        <v>3.8419676333333324</v>
      </c>
      <c r="F103">
        <v>4.1174125924316485</v>
      </c>
    </row>
    <row r="104" spans="1:6" x14ac:dyDescent="0.2">
      <c r="A104" s="15" t="s">
        <v>200</v>
      </c>
      <c r="B104" t="s">
        <v>201</v>
      </c>
      <c r="C104">
        <v>3.76</v>
      </c>
      <c r="D104">
        <f t="shared" si="5"/>
        <v>3.76</v>
      </c>
      <c r="E104">
        <f t="shared" si="6"/>
        <v>3.7524131833333327</v>
      </c>
      <c r="F104">
        <v>4.0776562088914226</v>
      </c>
    </row>
    <row r="105" spans="1:6" x14ac:dyDescent="0.2">
      <c r="A105" s="15" t="s">
        <v>202</v>
      </c>
      <c r="B105" t="s">
        <v>203</v>
      </c>
      <c r="C105">
        <v>3.61</v>
      </c>
      <c r="D105">
        <f t="shared" si="5"/>
        <v>3.61</v>
      </c>
      <c r="E105">
        <f t="shared" si="6"/>
        <v>3.6909487291666667</v>
      </c>
      <c r="F105">
        <v>4.0381712869080841</v>
      </c>
    </row>
    <row r="106" spans="1:6" x14ac:dyDescent="0.2">
      <c r="A106" s="15" t="s">
        <v>204</v>
      </c>
      <c r="B106" t="s">
        <v>205</v>
      </c>
      <c r="C106">
        <v>3.52</v>
      </c>
      <c r="D106">
        <f t="shared" si="5"/>
        <v>3.52</v>
      </c>
      <c r="E106">
        <f t="shared" si="6"/>
        <v>3.6466425416666666</v>
      </c>
      <c r="F106">
        <v>3.9989808792212824</v>
      </c>
    </row>
    <row r="107" spans="1:6" x14ac:dyDescent="0.2">
      <c r="A107" s="15" t="s">
        <v>206</v>
      </c>
      <c r="B107" t="s">
        <v>207</v>
      </c>
      <c r="C107">
        <v>3.49</v>
      </c>
      <c r="D107">
        <f t="shared" si="5"/>
        <v>3.49</v>
      </c>
      <c r="E107">
        <f t="shared" si="6"/>
        <v>3.6268992458333327</v>
      </c>
      <c r="F107">
        <v>3.9601047347798719</v>
      </c>
    </row>
    <row r="108" spans="1:6" x14ac:dyDescent="0.2">
      <c r="A108" s="15" t="s">
        <v>208</v>
      </c>
      <c r="B108" t="s">
        <v>209</v>
      </c>
      <c r="C108">
        <v>3.27</v>
      </c>
      <c r="D108">
        <f t="shared" si="5"/>
        <v>3.27</v>
      </c>
      <c r="E108">
        <f t="shared" si="6"/>
        <v>3.61525645</v>
      </c>
      <c r="F108">
        <v>3.92155890669259</v>
      </c>
    </row>
    <row r="109" spans="1:6" x14ac:dyDescent="0.2">
      <c r="A109" s="15" t="s">
        <v>210</v>
      </c>
      <c r="B109" t="s">
        <v>211</v>
      </c>
      <c r="C109">
        <v>3.35</v>
      </c>
      <c r="D109">
        <f t="shared" si="5"/>
        <v>3.35</v>
      </c>
      <c r="E109">
        <f t="shared" si="6"/>
        <v>3.6142287625000002</v>
      </c>
      <c r="F109">
        <v>3.8833558207168251</v>
      </c>
    </row>
    <row r="110" spans="1:6" x14ac:dyDescent="0.2">
      <c r="A110" s="15" t="s">
        <v>212</v>
      </c>
      <c r="B110" t="s">
        <v>213</v>
      </c>
      <c r="C110">
        <v>3.44</v>
      </c>
      <c r="D110">
        <f t="shared" si="5"/>
        <v>3.44</v>
      </c>
      <c r="E110">
        <f t="shared" si="6"/>
        <v>3.6109635875000006</v>
      </c>
      <c r="F110">
        <v>3.8455028751492666</v>
      </c>
    </row>
    <row r="111" spans="1:6" x14ac:dyDescent="0.2">
      <c r="A111" s="15" t="s">
        <v>214</v>
      </c>
      <c r="B111" t="s">
        <v>215</v>
      </c>
      <c r="C111">
        <v>3.15</v>
      </c>
      <c r="D111">
        <f t="shared" si="5"/>
        <v>3.15</v>
      </c>
      <c r="E111">
        <f t="shared" si="6"/>
        <v>3.5982222041666669</v>
      </c>
      <c r="F111">
        <v>3.8080033528867516</v>
      </c>
    </row>
    <row r="112" spans="1:6" x14ac:dyDescent="0.2">
      <c r="A112" s="15" t="s">
        <v>216</v>
      </c>
      <c r="B112" t="s">
        <v>217</v>
      </c>
      <c r="C112">
        <v>3.0219985999999999</v>
      </c>
      <c r="D112">
        <f t="shared" si="5"/>
        <v>3.0219985999999999</v>
      </c>
      <c r="E112">
        <f t="shared" si="6"/>
        <v>3.5834037250000002</v>
      </c>
      <c r="F112">
        <v>3.770857407945909</v>
      </c>
    </row>
    <row r="113" spans="1:6" x14ac:dyDescent="0.2">
      <c r="A113" s="15" t="s">
        <v>218</v>
      </c>
      <c r="B113" t="s">
        <v>219</v>
      </c>
      <c r="C113">
        <v>3.2742401999999999</v>
      </c>
      <c r="D113">
        <f t="shared" si="5"/>
        <v>3.2742401999999999</v>
      </c>
      <c r="E113">
        <f t="shared" si="6"/>
        <v>3.5700095249999997</v>
      </c>
      <c r="F113">
        <v>3.7340601171570027</v>
      </c>
    </row>
    <row r="114" spans="1:6" x14ac:dyDescent="0.2">
      <c r="A114" s="15" t="s">
        <v>220</v>
      </c>
      <c r="B114" t="s">
        <v>221</v>
      </c>
      <c r="C114">
        <v>3.2809843999999999</v>
      </c>
      <c r="D114">
        <f t="shared" si="5"/>
        <v>3.2809843999999999</v>
      </c>
      <c r="E114">
        <f t="shared" si="6"/>
        <v>3.5593261666666667</v>
      </c>
      <c r="F114">
        <v>3.6976007791187535</v>
      </c>
    </row>
    <row r="115" spans="1:6" x14ac:dyDescent="0.2">
      <c r="A115" s="15" t="s">
        <v>222</v>
      </c>
      <c r="B115" t="s">
        <v>223</v>
      </c>
      <c r="C115">
        <v>2.9406932000000001</v>
      </c>
      <c r="D115">
        <f t="shared" si="5"/>
        <v>2.9406932000000001</v>
      </c>
      <c r="E115">
        <f t="shared" si="6"/>
        <v>3.5418523666666668</v>
      </c>
      <c r="F115">
        <v>3.6614651444366939</v>
      </c>
    </row>
    <row r="116" spans="1:6" x14ac:dyDescent="0.2">
      <c r="A116" s="15" t="s">
        <v>224</v>
      </c>
      <c r="B116" t="s">
        <v>225</v>
      </c>
      <c r="C116">
        <v>3.3048530999999999</v>
      </c>
      <c r="D116">
        <f t="shared" si="5"/>
        <v>3.3048530999999999</v>
      </c>
      <c r="E116">
        <f t="shared" si="6"/>
        <v>3.5465939708333329</v>
      </c>
      <c r="F116">
        <v>3.6256357490838012</v>
      </c>
    </row>
    <row r="117" spans="1:6" x14ac:dyDescent="0.2">
      <c r="A117" s="15" t="s">
        <v>226</v>
      </c>
      <c r="B117" t="s">
        <v>227</v>
      </c>
      <c r="C117">
        <v>3.6266514999999999</v>
      </c>
      <c r="D117">
        <f t="shared" si="5"/>
        <v>3.6266514999999999</v>
      </c>
      <c r="E117">
        <f t="shared" si="6"/>
        <v>3.5447396999999996</v>
      </c>
      <c r="F117">
        <v>3.5900895675211348</v>
      </c>
    </row>
    <row r="118" spans="1:6" x14ac:dyDescent="0.2">
      <c r="A118" s="15" t="s">
        <v>228</v>
      </c>
      <c r="B118" t="s">
        <v>229</v>
      </c>
      <c r="C118">
        <v>3.8561608999999999</v>
      </c>
      <c r="D118">
        <f t="shared" si="5"/>
        <v>3.8561608999999999</v>
      </c>
      <c r="E118">
        <f t="shared" si="6"/>
        <v>3.5295469958333334</v>
      </c>
      <c r="F118">
        <v>3.5548010990349934</v>
      </c>
    </row>
    <row r="119" spans="1:6" x14ac:dyDescent="0.2">
      <c r="A119" s="15" t="s">
        <v>230</v>
      </c>
      <c r="B119" t="s">
        <v>231</v>
      </c>
      <c r="C119">
        <v>3.9605728999999998</v>
      </c>
      <c r="D119">
        <f t="shared" si="5"/>
        <v>3.9605728999999998</v>
      </c>
      <c r="E119">
        <f t="shared" si="6"/>
        <v>3.5226193083333333</v>
      </c>
      <c r="F119">
        <v>3.5197451250253526</v>
      </c>
    </row>
    <row r="120" spans="1:6" x14ac:dyDescent="0.2">
      <c r="A120" s="15" t="s">
        <v>232</v>
      </c>
      <c r="B120" t="s">
        <v>233</v>
      </c>
      <c r="C120">
        <v>4.0353355000000004</v>
      </c>
      <c r="D120">
        <f t="shared" si="5"/>
        <v>4.0353355000000004</v>
      </c>
      <c r="E120">
        <f t="shared" si="6"/>
        <v>3.5187933999999998</v>
      </c>
      <c r="F120">
        <v>3.4848987521992947</v>
      </c>
    </row>
    <row r="121" spans="1:6" x14ac:dyDescent="0.2">
      <c r="A121" s="15" t="s">
        <v>234</v>
      </c>
      <c r="B121" t="s">
        <v>235</v>
      </c>
      <c r="C121">
        <v>4.1716357999999998</v>
      </c>
      <c r="D121">
        <f t="shared" si="5"/>
        <v>4.1716357999999998</v>
      </c>
      <c r="E121">
        <f t="shared" si="6"/>
        <v>3.5103427625000005</v>
      </c>
      <c r="F121">
        <v>3.4502424887127829</v>
      </c>
    </row>
    <row r="122" spans="1:6" x14ac:dyDescent="0.2">
      <c r="A122" s="15" t="s">
        <v>236</v>
      </c>
      <c r="B122" t="s">
        <v>237</v>
      </c>
      <c r="C122">
        <v>3.6842068000000001</v>
      </c>
      <c r="D122">
        <f t="shared" si="5"/>
        <v>3.6842068000000001</v>
      </c>
      <c r="E122">
        <f t="shared" si="6"/>
        <v>3.4964368875000003</v>
      </c>
      <c r="F122">
        <v>3.415761089918909</v>
      </c>
    </row>
    <row r="123" spans="1:6" x14ac:dyDescent="0.2">
      <c r="A123" s="15" t="s">
        <v>238</v>
      </c>
      <c r="B123" t="s">
        <v>239</v>
      </c>
      <c r="C123">
        <v>3.6043565000000002</v>
      </c>
      <c r="D123">
        <f t="shared" si="5"/>
        <v>3.6043565000000002</v>
      </c>
      <c r="E123">
        <f t="shared" si="6"/>
        <v>3.4712577791666672</v>
      </c>
      <c r="F123">
        <v>3.3814448774771795</v>
      </c>
    </row>
    <row r="124" spans="1:6" x14ac:dyDescent="0.2">
      <c r="A124" s="15" t="s">
        <v>240</v>
      </c>
      <c r="B124" t="s">
        <v>241</v>
      </c>
      <c r="C124">
        <v>3.7985392</v>
      </c>
      <c r="D124">
        <f t="shared" si="5"/>
        <v>3.7985392</v>
      </c>
      <c r="E124">
        <f t="shared" si="6"/>
        <v>3.4470088833333339</v>
      </c>
      <c r="F124">
        <v>3.3472862443874551</v>
      </c>
    </row>
    <row r="125" spans="1:6" x14ac:dyDescent="0.2">
      <c r="A125" s="15" t="s">
        <v>242</v>
      </c>
      <c r="B125" t="s">
        <v>243</v>
      </c>
      <c r="C125">
        <v>3.7635993999999999</v>
      </c>
      <c r="D125">
        <f t="shared" si="5"/>
        <v>3.7635993999999999</v>
      </c>
      <c r="E125">
        <f t="shared" si="6"/>
        <v>3.4464342000000006</v>
      </c>
      <c r="F125">
        <v>3.3132793036466852</v>
      </c>
    </row>
    <row r="126" spans="1:6" x14ac:dyDescent="0.2">
      <c r="A126" s="15" t="s">
        <v>244</v>
      </c>
      <c r="B126" t="s">
        <v>245</v>
      </c>
      <c r="C126">
        <v>3.4906288000000001</v>
      </c>
      <c r="D126">
        <f t="shared" si="5"/>
        <v>3.4906288000000001</v>
      </c>
      <c r="E126">
        <f t="shared" si="6"/>
        <v>3.4358853833333343</v>
      </c>
      <c r="F126">
        <v>3.2794216501419071</v>
      </c>
    </row>
    <row r="127" spans="1:6" x14ac:dyDescent="0.2">
      <c r="A127" s="15" t="s">
        <v>246</v>
      </c>
      <c r="B127" t="s">
        <v>247</v>
      </c>
      <c r="C127">
        <v>3.7137984999999998</v>
      </c>
      <c r="D127">
        <f t="shared" si="5"/>
        <v>3.7137984999999998</v>
      </c>
      <c r="E127">
        <f t="shared" si="6"/>
        <v>3.4132661333333338</v>
      </c>
      <c r="F127">
        <v>3.2457143534522603</v>
      </c>
    </row>
    <row r="128" spans="1:6" x14ac:dyDescent="0.2">
      <c r="A128" s="15" t="s">
        <v>248</v>
      </c>
      <c r="B128" t="s">
        <v>249</v>
      </c>
      <c r="C128">
        <v>3.7154975000000001</v>
      </c>
      <c r="D128">
        <f t="shared" si="5"/>
        <v>3.7154975000000001</v>
      </c>
      <c r="E128">
        <f t="shared" si="6"/>
        <v>3.3907946625000007</v>
      </c>
      <c r="F128">
        <v>3.212160112841683</v>
      </c>
    </row>
    <row r="129" spans="1:6" x14ac:dyDescent="0.2">
      <c r="A129" s="15" t="s">
        <v>250</v>
      </c>
      <c r="B129" t="s">
        <v>251</v>
      </c>
      <c r="C129">
        <v>3.2453751</v>
      </c>
      <c r="D129">
        <f t="shared" si="5"/>
        <v>3.2453751</v>
      </c>
      <c r="E129">
        <f t="shared" si="6"/>
        <v>3.3431973749999995</v>
      </c>
      <c r="F129">
        <v>3.1787652393345036</v>
      </c>
    </row>
    <row r="130" spans="1:6" x14ac:dyDescent="0.2">
      <c r="A130" s="15" t="s">
        <v>252</v>
      </c>
      <c r="B130" t="s">
        <v>253</v>
      </c>
      <c r="C130">
        <v>3.3537355</v>
      </c>
      <c r="D130">
        <f t="shared" si="5"/>
        <v>3.3537355</v>
      </c>
      <c r="E130">
        <f t="shared" si="6"/>
        <v>3.2882655499999989</v>
      </c>
      <c r="F130">
        <v>3.1455399277311868</v>
      </c>
    </row>
    <row r="131" spans="1:6" x14ac:dyDescent="0.2">
      <c r="A131" s="15" t="s">
        <v>254</v>
      </c>
      <c r="B131" t="s">
        <v>255</v>
      </c>
      <c r="C131">
        <v>3.3981781999999998</v>
      </c>
      <c r="D131">
        <f t="shared" si="5"/>
        <v>3.3981781999999998</v>
      </c>
      <c r="E131">
        <f t="shared" si="6"/>
        <v>3.2421765499999995</v>
      </c>
      <c r="F131">
        <v>3.1124948867971725</v>
      </c>
    </row>
    <row r="132" spans="1:6" x14ac:dyDescent="0.2">
      <c r="A132" s="15" t="s">
        <v>256</v>
      </c>
      <c r="B132" t="s">
        <v>257</v>
      </c>
      <c r="C132">
        <v>3.0671846999999999</v>
      </c>
      <c r="D132">
        <f t="shared" si="5"/>
        <v>3.0671846999999999</v>
      </c>
      <c r="E132">
        <f t="shared" si="6"/>
        <v>3.1920782458333328</v>
      </c>
      <c r="F132">
        <v>3.0796424317452158</v>
      </c>
    </row>
    <row r="133" spans="1:6" x14ac:dyDescent="0.2">
      <c r="A133" s="15" t="s">
        <v>258</v>
      </c>
      <c r="B133" t="s">
        <v>259</v>
      </c>
      <c r="C133">
        <v>3.0162589999999998</v>
      </c>
      <c r="D133">
        <f t="shared" si="5"/>
        <v>3.0162589999999998</v>
      </c>
      <c r="E133">
        <f t="shared" si="6"/>
        <v>3.1421654541666659</v>
      </c>
      <c r="F133">
        <v>3.0469970821346242</v>
      </c>
    </row>
    <row r="134" spans="1:6" x14ac:dyDescent="0.2">
      <c r="A134" s="15" t="s">
        <v>260</v>
      </c>
      <c r="B134" t="s">
        <v>261</v>
      </c>
      <c r="C134">
        <v>2.8357014</v>
      </c>
      <c r="D134">
        <f t="shared" si="5"/>
        <v>2.8357014</v>
      </c>
      <c r="E134">
        <f t="shared" si="6"/>
        <v>3.0773835208333336</v>
      </c>
      <c r="F134">
        <v>3.0145732614002307</v>
      </c>
    </row>
    <row r="135" spans="1:6" x14ac:dyDescent="0.2">
      <c r="A135" s="15" t="s">
        <v>262</v>
      </c>
      <c r="B135" t="s">
        <v>263</v>
      </c>
      <c r="C135">
        <v>2.5680265000000002</v>
      </c>
      <c r="D135">
        <f t="shared" si="5"/>
        <v>2.5680265000000002</v>
      </c>
      <c r="E135">
        <f t="shared" si="6"/>
        <v>3.0349857583333342</v>
      </c>
      <c r="F135">
        <v>2.9823851558003098</v>
      </c>
    </row>
    <row r="136" spans="1:6" x14ac:dyDescent="0.2">
      <c r="A136" s="15" t="s">
        <v>264</v>
      </c>
      <c r="B136" t="s">
        <v>265</v>
      </c>
      <c r="C136">
        <v>3.0082062000000001</v>
      </c>
      <c r="D136">
        <f t="shared" si="5"/>
        <v>3.0082062000000001</v>
      </c>
      <c r="E136">
        <f t="shared" si="6"/>
        <v>3.0039195458333339</v>
      </c>
      <c r="F136">
        <v>2.9504455714090199</v>
      </c>
    </row>
    <row r="137" spans="1:6" x14ac:dyDescent="0.2">
      <c r="A137" s="15" t="s">
        <v>266</v>
      </c>
      <c r="B137" t="s">
        <v>267</v>
      </c>
      <c r="C137">
        <v>3.0210686</v>
      </c>
      <c r="D137">
        <f t="shared" si="5"/>
        <v>3.0210686</v>
      </c>
      <c r="E137">
        <f t="shared" si="6"/>
        <v>2.9466007375000003</v>
      </c>
      <c r="F137">
        <v>2.9187641170886702</v>
      </c>
    </row>
    <row r="138" spans="1:6" x14ac:dyDescent="0.2">
      <c r="A138" s="15" t="s">
        <v>268</v>
      </c>
      <c r="B138" t="s">
        <v>269</v>
      </c>
      <c r="C138">
        <v>2.7381224</v>
      </c>
      <c r="D138">
        <f t="shared" si="5"/>
        <v>2.7381224</v>
      </c>
      <c r="E138">
        <f t="shared" si="6"/>
        <v>2.8967055541666666</v>
      </c>
      <c r="F138">
        <v>2.887350847385433</v>
      </c>
    </row>
    <row r="139" spans="1:6" x14ac:dyDescent="0.2">
      <c r="A139" s="15" t="s">
        <v>270</v>
      </c>
      <c r="B139" t="s">
        <v>271</v>
      </c>
      <c r="C139">
        <v>2.4013779</v>
      </c>
      <c r="D139">
        <f t="shared" si="5"/>
        <v>2.4013779</v>
      </c>
      <c r="E139">
        <f t="shared" si="6"/>
        <v>2.8686152291666667</v>
      </c>
      <c r="F139">
        <v>2.8562166062319227</v>
      </c>
    </row>
    <row r="140" spans="1:6" x14ac:dyDescent="0.2">
      <c r="A140" s="15" t="s">
        <v>272</v>
      </c>
      <c r="B140" t="s">
        <v>273</v>
      </c>
      <c r="C140">
        <v>2.1625182000000001</v>
      </c>
      <c r="D140">
        <f t="shared" si="5"/>
        <v>2.1625182000000001</v>
      </c>
      <c r="E140">
        <f t="shared" si="6"/>
        <v>2.8345920625000001</v>
      </c>
      <c r="F140">
        <v>2.825371086106685</v>
      </c>
    </row>
    <row r="141" spans="1:6" x14ac:dyDescent="0.2">
      <c r="A141" s="15" t="s">
        <v>274</v>
      </c>
      <c r="B141" t="s">
        <v>275</v>
      </c>
      <c r="C141">
        <v>2.3082877000000002</v>
      </c>
      <c r="D141">
        <f t="shared" si="5"/>
        <v>2.3082877000000002</v>
      </c>
      <c r="E141">
        <f t="shared" si="6"/>
        <v>2.8132439708333323</v>
      </c>
      <c r="F141">
        <v>2.7948204699303476</v>
      </c>
    </row>
    <row r="142" spans="1:6" x14ac:dyDescent="0.2">
      <c r="A142" s="15" t="s">
        <v>276</v>
      </c>
      <c r="B142" t="s">
        <v>277</v>
      </c>
      <c r="C142">
        <v>2.7500249000000001</v>
      </c>
      <c r="D142">
        <f t="shared" si="5"/>
        <v>2.7500249000000001</v>
      </c>
      <c r="E142">
        <f t="shared" si="6"/>
        <v>2.8140561583333326</v>
      </c>
      <c r="F142">
        <v>2.7645658260179355</v>
      </c>
    </row>
    <row r="143" spans="1:6" x14ac:dyDescent="0.2">
      <c r="A143" s="15" t="s">
        <v>278</v>
      </c>
      <c r="B143" t="s">
        <v>279</v>
      </c>
      <c r="C143">
        <v>2.7582135999999999</v>
      </c>
      <c r="D143">
        <f t="shared" si="5"/>
        <v>2.7582135999999999</v>
      </c>
      <c r="E143">
        <f t="shared" si="6"/>
        <v>2.8004591624999993</v>
      </c>
      <c r="F143">
        <v>2.7346044685735951</v>
      </c>
    </row>
    <row r="144" spans="1:6" x14ac:dyDescent="0.2">
      <c r="A144" s="15" t="s">
        <v>280</v>
      </c>
      <c r="B144" t="s">
        <v>281</v>
      </c>
      <c r="C144">
        <v>2.8374285000000001</v>
      </c>
      <c r="D144">
        <f t="shared" si="5"/>
        <v>2.8374285000000001</v>
      </c>
      <c r="E144">
        <f t="shared" si="6"/>
        <v>2.768495675</v>
      </c>
      <c r="F144">
        <v>2.7049335996029691</v>
      </c>
    </row>
    <row r="145" spans="1:6" x14ac:dyDescent="0.2">
      <c r="A145" s="15" t="s">
        <v>282</v>
      </c>
      <c r="B145" t="s">
        <v>283</v>
      </c>
      <c r="C145">
        <v>2.6168694000000001</v>
      </c>
      <c r="D145">
        <f t="shared" ref="D145:D208" si="7">C145</f>
        <v>2.6168694000000001</v>
      </c>
      <c r="E145">
        <f t="shared" si="6"/>
        <v>2.7416667374999997</v>
      </c>
      <c r="F145">
        <v>2.6755506032809251</v>
      </c>
    </row>
    <row r="146" spans="1:6" x14ac:dyDescent="0.2">
      <c r="A146" s="15" t="s">
        <v>284</v>
      </c>
      <c r="B146" t="s">
        <v>285</v>
      </c>
      <c r="C146">
        <v>2.6666604999999999</v>
      </c>
      <c r="D146">
        <f t="shared" si="7"/>
        <v>2.6666604999999999</v>
      </c>
      <c r="E146">
        <f t="shared" si="6"/>
        <v>2.7128003333333326</v>
      </c>
      <c r="F146">
        <v>2.6464538861195255</v>
      </c>
    </row>
    <row r="147" spans="1:6" x14ac:dyDescent="0.2">
      <c r="A147" s="15" t="s">
        <v>286</v>
      </c>
      <c r="B147" t="s">
        <v>287</v>
      </c>
      <c r="C147">
        <v>2.8587674000000001</v>
      </c>
      <c r="D147">
        <f t="shared" si="7"/>
        <v>2.8587674000000001</v>
      </c>
      <c r="E147">
        <f t="shared" si="6"/>
        <v>2.690161433333333</v>
      </c>
      <c r="F147">
        <v>2.6176414018437706</v>
      </c>
    </row>
    <row r="148" spans="1:6" x14ac:dyDescent="0.2">
      <c r="A148" s="15" t="s">
        <v>288</v>
      </c>
      <c r="B148" t="s">
        <v>289</v>
      </c>
      <c r="C148">
        <v>2.4228877999999998</v>
      </c>
      <c r="D148">
        <f t="shared" si="7"/>
        <v>2.4228877999999998</v>
      </c>
      <c r="E148">
        <f t="shared" si="6"/>
        <v>2.6709309958333329</v>
      </c>
      <c r="F148">
        <v>2.5891112600938913</v>
      </c>
    </row>
    <row r="149" spans="1:6" x14ac:dyDescent="0.2">
      <c r="A149" s="15" t="s">
        <v>290</v>
      </c>
      <c r="B149" t="s">
        <v>291</v>
      </c>
      <c r="C149">
        <v>2.5661149999999999</v>
      </c>
      <c r="D149">
        <f t="shared" si="7"/>
        <v>2.5661149999999999</v>
      </c>
      <c r="E149">
        <f t="shared" si="6"/>
        <v>2.6360192458333329</v>
      </c>
      <c r="F149">
        <v>2.5608634310502274</v>
      </c>
    </row>
    <row r="150" spans="1:6" x14ac:dyDescent="0.2">
      <c r="A150" s="15" t="s">
        <v>292</v>
      </c>
      <c r="B150" t="s">
        <v>293</v>
      </c>
      <c r="C150">
        <v>2.8164609999999999</v>
      </c>
      <c r="D150">
        <f t="shared" si="7"/>
        <v>2.8164609999999999</v>
      </c>
      <c r="E150">
        <f t="shared" si="6"/>
        <v>2.5793410166666666</v>
      </c>
      <c r="F150">
        <v>2.5328966023046915</v>
      </c>
    </row>
    <row r="151" spans="1:6" x14ac:dyDescent="0.2">
      <c r="A151" s="15" t="s">
        <v>294</v>
      </c>
      <c r="B151" t="s">
        <v>295</v>
      </c>
      <c r="C151">
        <v>2.8972424999999999</v>
      </c>
      <c r="D151">
        <f t="shared" si="7"/>
        <v>2.8972424999999999</v>
      </c>
      <c r="E151">
        <f t="shared" si="6"/>
        <v>2.5372177541666669</v>
      </c>
      <c r="F151">
        <v>2.5052095019705609</v>
      </c>
    </row>
    <row r="152" spans="1:6" x14ac:dyDescent="0.2">
      <c r="A152" s="15" t="s">
        <v>296</v>
      </c>
      <c r="B152" t="s">
        <v>297</v>
      </c>
      <c r="C152">
        <v>3.2031432999999998</v>
      </c>
      <c r="D152">
        <f t="shared" si="7"/>
        <v>3.2031432999999998</v>
      </c>
      <c r="E152">
        <f t="shared" si="6"/>
        <v>2.5258629916666671</v>
      </c>
      <c r="F152">
        <v>2.4778030461580083</v>
      </c>
    </row>
    <row r="153" spans="1:6" x14ac:dyDescent="0.2">
      <c r="A153" s="15" t="s">
        <v>298</v>
      </c>
      <c r="B153" t="s">
        <v>299</v>
      </c>
      <c r="C153">
        <v>3.2648676000000001</v>
      </c>
      <c r="D153">
        <f t="shared" si="7"/>
        <v>3.2648676000000001</v>
      </c>
      <c r="E153">
        <f t="shared" si="6"/>
        <v>2.5240375875000001</v>
      </c>
      <c r="F153">
        <v>2.450681175923179</v>
      </c>
    </row>
    <row r="154" spans="1:6" x14ac:dyDescent="0.2">
      <c r="A154" s="15" t="s">
        <v>300</v>
      </c>
      <c r="B154" t="s">
        <v>301</v>
      </c>
      <c r="C154">
        <v>3.0274076000000001</v>
      </c>
      <c r="D154">
        <f t="shared" si="7"/>
        <v>3.0274076000000001</v>
      </c>
      <c r="E154">
        <f t="shared" si="6"/>
        <v>2.4996635125000002</v>
      </c>
      <c r="F154">
        <v>2.4238534290834366</v>
      </c>
    </row>
    <row r="155" spans="1:6" x14ac:dyDescent="0.2">
      <c r="A155" s="15" t="s">
        <v>302</v>
      </c>
      <c r="B155" t="s">
        <v>303</v>
      </c>
      <c r="C155">
        <v>2.6310544999999999</v>
      </c>
      <c r="D155">
        <f t="shared" si="7"/>
        <v>2.6310544999999999</v>
      </c>
      <c r="E155">
        <f t="shared" si="6"/>
        <v>2.4751884666666668</v>
      </c>
      <c r="F155">
        <v>2.3973356257587994</v>
      </c>
    </row>
    <row r="156" spans="1:6" x14ac:dyDescent="0.2">
      <c r="A156" s="15" t="s">
        <v>304</v>
      </c>
      <c r="B156" t="s">
        <v>305</v>
      </c>
      <c r="C156">
        <v>2.4232901999999998</v>
      </c>
      <c r="D156">
        <f t="shared" si="7"/>
        <v>2.4232901999999998</v>
      </c>
      <c r="E156">
        <f t="shared" si="6"/>
        <v>2.4521252333333332</v>
      </c>
      <c r="F156">
        <v>2.3711482431230744</v>
      </c>
    </row>
    <row r="157" spans="1:6" x14ac:dyDescent="0.2">
      <c r="A157" s="15" t="s">
        <v>306</v>
      </c>
      <c r="B157" t="s">
        <v>307</v>
      </c>
      <c r="C157">
        <v>2.3234653000000001</v>
      </c>
      <c r="D157">
        <f t="shared" si="7"/>
        <v>2.3234653000000001</v>
      </c>
      <c r="E157">
        <f t="shared" ref="E157:E220" si="8">AVERAGE(C145:C168)</f>
        <v>2.4227261874999999</v>
      </c>
      <c r="F157">
        <v>2.3453135617364436</v>
      </c>
    </row>
    <row r="158" spans="1:6" x14ac:dyDescent="0.2">
      <c r="A158" s="15" t="s">
        <v>308</v>
      </c>
      <c r="B158" t="s">
        <v>309</v>
      </c>
      <c r="C158">
        <v>2.2923678000000001</v>
      </c>
      <c r="D158">
        <f t="shared" si="7"/>
        <v>2.2923678000000001</v>
      </c>
      <c r="E158">
        <f t="shared" si="8"/>
        <v>2.4098594750000002</v>
      </c>
      <c r="F158">
        <v>2.3198542644890026</v>
      </c>
    </row>
    <row r="159" spans="1:6" x14ac:dyDescent="0.2">
      <c r="A159" s="15" t="s">
        <v>310</v>
      </c>
      <c r="B159" t="s">
        <v>311</v>
      </c>
      <c r="C159">
        <v>2.1064959999999999</v>
      </c>
      <c r="D159">
        <f t="shared" si="7"/>
        <v>2.1064959999999999</v>
      </c>
      <c r="E159">
        <f t="shared" si="8"/>
        <v>2.3919918249999998</v>
      </c>
      <c r="F159">
        <v>2.2947928656885805</v>
      </c>
    </row>
    <row r="160" spans="1:6" x14ac:dyDescent="0.2">
      <c r="A160" s="15" t="s">
        <v>312</v>
      </c>
      <c r="B160" t="s">
        <v>313</v>
      </c>
      <c r="C160">
        <v>2.1703242</v>
      </c>
      <c r="D160">
        <f t="shared" si="7"/>
        <v>2.1703242</v>
      </c>
      <c r="E160">
        <f t="shared" si="8"/>
        <v>2.3710433833333333</v>
      </c>
      <c r="F160">
        <v>2.2701516675560893</v>
      </c>
    </row>
    <row r="161" spans="1:6" x14ac:dyDescent="0.2">
      <c r="A161" s="15" t="s">
        <v>314</v>
      </c>
      <c r="B161" t="s">
        <v>315</v>
      </c>
      <c r="C161">
        <v>1.6607911</v>
      </c>
      <c r="D161">
        <f t="shared" si="7"/>
        <v>1.6607911</v>
      </c>
      <c r="E161">
        <f t="shared" si="8"/>
        <v>2.3724523625000002</v>
      </c>
      <c r="F161">
        <v>2.2459515194045272</v>
      </c>
    </row>
    <row r="162" spans="1:6" x14ac:dyDescent="0.2">
      <c r="A162" s="15" t="s">
        <v>316</v>
      </c>
      <c r="B162" t="s">
        <v>317</v>
      </c>
      <c r="C162">
        <v>1.7271641</v>
      </c>
      <c r="D162">
        <f t="shared" si="7"/>
        <v>1.7271641</v>
      </c>
      <c r="E162">
        <f t="shared" si="8"/>
        <v>2.3731675750000001</v>
      </c>
      <c r="F162">
        <v>2.2222125002732236</v>
      </c>
    </row>
    <row r="163" spans="1:6" x14ac:dyDescent="0.2">
      <c r="A163" s="15" t="s">
        <v>318</v>
      </c>
      <c r="B163" t="s">
        <v>319</v>
      </c>
      <c r="C163">
        <v>2.1288635999999999</v>
      </c>
      <c r="D163">
        <f t="shared" si="7"/>
        <v>2.1288635999999999</v>
      </c>
      <c r="E163">
        <f t="shared" si="8"/>
        <v>2.3524571416666666</v>
      </c>
      <c r="F163">
        <v>2.1989501740748154</v>
      </c>
    </row>
    <row r="164" spans="1:6" x14ac:dyDescent="0.2">
      <c r="A164" s="15" t="s">
        <v>320</v>
      </c>
      <c r="B164" t="s">
        <v>321</v>
      </c>
      <c r="C164">
        <v>2.1187084999999999</v>
      </c>
      <c r="D164">
        <f t="shared" si="7"/>
        <v>2.1187084999999999</v>
      </c>
      <c r="E164">
        <f t="shared" si="8"/>
        <v>2.3210064666666663</v>
      </c>
      <c r="F164">
        <v>2.1761762849040363</v>
      </c>
    </row>
    <row r="165" spans="1:6" x14ac:dyDescent="0.2">
      <c r="A165" s="15" t="s">
        <v>322</v>
      </c>
      <c r="B165" t="s">
        <v>323</v>
      </c>
      <c r="C165">
        <v>1.7233099000000001</v>
      </c>
      <c r="D165">
        <f t="shared" si="7"/>
        <v>1.7233099000000001</v>
      </c>
      <c r="E165">
        <f t="shared" si="8"/>
        <v>2.2661341250000002</v>
      </c>
      <c r="F165">
        <v>2.153902036064153</v>
      </c>
    </row>
    <row r="166" spans="1:6" x14ac:dyDescent="0.2">
      <c r="A166" s="15" t="s">
        <v>324</v>
      </c>
      <c r="B166" t="s">
        <v>325</v>
      </c>
      <c r="C166">
        <v>2.1626238</v>
      </c>
      <c r="D166">
        <f t="shared" si="7"/>
        <v>2.1626238</v>
      </c>
      <c r="E166">
        <f t="shared" si="8"/>
        <v>2.2152063666666666</v>
      </c>
      <c r="F166">
        <v>2.1321381874341658</v>
      </c>
    </row>
    <row r="167" spans="1:6" x14ac:dyDescent="0.2">
      <c r="A167" s="15" t="s">
        <v>326</v>
      </c>
      <c r="B167" t="s">
        <v>327</v>
      </c>
      <c r="C167">
        <v>2.2046960000000002</v>
      </c>
      <c r="D167">
        <f t="shared" si="7"/>
        <v>2.2046960000000002</v>
      </c>
      <c r="E167">
        <f t="shared" si="8"/>
        <v>2.1740464875000001</v>
      </c>
      <c r="F167">
        <v>2.110892176422889</v>
      </c>
    </row>
    <row r="168" spans="1:6" x14ac:dyDescent="0.2">
      <c r="A168" s="15" t="s">
        <v>328</v>
      </c>
      <c r="B168" t="s">
        <v>329</v>
      </c>
      <c r="C168">
        <v>2.1318514</v>
      </c>
      <c r="D168">
        <f t="shared" si="7"/>
        <v>2.1318514</v>
      </c>
      <c r="E168">
        <f t="shared" si="8"/>
        <v>2.1380811249999998</v>
      </c>
      <c r="F168">
        <v>2.0901716756676296</v>
      </c>
    </row>
    <row r="169" spans="1:6" x14ac:dyDescent="0.2">
      <c r="A169" s="15" t="s">
        <v>330</v>
      </c>
      <c r="B169" t="s">
        <v>331</v>
      </c>
      <c r="C169">
        <v>2.3080683</v>
      </c>
      <c r="D169">
        <f t="shared" si="7"/>
        <v>2.3080683</v>
      </c>
      <c r="E169">
        <f t="shared" si="8"/>
        <v>2.1210261708333333</v>
      </c>
      <c r="F169">
        <v>2.0699850816006298</v>
      </c>
    </row>
    <row r="170" spans="1:6" x14ac:dyDescent="0.2">
      <c r="A170" s="15" t="s">
        <v>332</v>
      </c>
      <c r="B170" t="s">
        <v>333</v>
      </c>
      <c r="C170">
        <v>2.2378369</v>
      </c>
      <c r="D170">
        <f t="shared" si="7"/>
        <v>2.2378369</v>
      </c>
      <c r="E170">
        <f t="shared" si="8"/>
        <v>2.0900242291666662</v>
      </c>
      <c r="F170">
        <v>2.0503411122569424</v>
      </c>
    </row>
    <row r="171" spans="1:6" x14ac:dyDescent="0.2">
      <c r="A171" s="15" t="s">
        <v>334</v>
      </c>
      <c r="B171" t="s">
        <v>335</v>
      </c>
      <c r="C171">
        <v>2.3560048</v>
      </c>
      <c r="D171">
        <f t="shared" si="7"/>
        <v>2.3560048</v>
      </c>
      <c r="E171">
        <f t="shared" si="8"/>
        <v>2.0640375458333335</v>
      </c>
      <c r="F171">
        <v>2.0312503227334902</v>
      </c>
    </row>
    <row r="172" spans="1:6" x14ac:dyDescent="0.2">
      <c r="A172" s="15" t="s">
        <v>336</v>
      </c>
      <c r="B172" t="s">
        <v>337</v>
      </c>
      <c r="C172">
        <v>2.4567033</v>
      </c>
      <c r="D172">
        <f t="shared" si="7"/>
        <v>2.4567033</v>
      </c>
      <c r="E172">
        <f t="shared" si="8"/>
        <v>2.0341563250000001</v>
      </c>
      <c r="F172">
        <v>2.0127247148539533</v>
      </c>
    </row>
    <row r="173" spans="1:6" x14ac:dyDescent="0.2">
      <c r="A173" s="15" t="s">
        <v>338</v>
      </c>
      <c r="B173" t="s">
        <v>339</v>
      </c>
      <c r="C173">
        <v>2.5832801000000001</v>
      </c>
      <c r="D173">
        <f t="shared" si="7"/>
        <v>2.5832801000000001</v>
      </c>
      <c r="E173">
        <f t="shared" si="8"/>
        <v>2.0159594875000004</v>
      </c>
      <c r="F173">
        <v>1.9947787962635952</v>
      </c>
    </row>
    <row r="174" spans="1:6" x14ac:dyDescent="0.2">
      <c r="A174" s="15" t="s">
        <v>340</v>
      </c>
      <c r="B174" t="s">
        <v>341</v>
      </c>
      <c r="C174">
        <v>2.3194105999999999</v>
      </c>
      <c r="D174">
        <f t="shared" si="7"/>
        <v>2.3194105999999999</v>
      </c>
      <c r="E174">
        <f t="shared" si="8"/>
        <v>2.009896504166667</v>
      </c>
      <c r="F174">
        <v>1.9774305003683672</v>
      </c>
    </row>
    <row r="175" spans="1:6" x14ac:dyDescent="0.2">
      <c r="A175" s="15" t="s">
        <v>342</v>
      </c>
      <c r="B175" t="s">
        <v>343</v>
      </c>
      <c r="C175">
        <v>2.1424262999999999</v>
      </c>
      <c r="D175">
        <f t="shared" si="7"/>
        <v>2.1424262999999999</v>
      </c>
      <c r="E175">
        <f t="shared" si="8"/>
        <v>2.0030337125000002</v>
      </c>
      <c r="F175">
        <v>1.9607023014793419</v>
      </c>
    </row>
    <row r="176" spans="1:6" x14ac:dyDescent="0.2">
      <c r="A176" s="15" t="s">
        <v>344</v>
      </c>
      <c r="B176" t="s">
        <v>345</v>
      </c>
      <c r="C176">
        <v>1.8862071</v>
      </c>
      <c r="D176">
        <f t="shared" si="7"/>
        <v>1.8862071</v>
      </c>
      <c r="E176">
        <f t="shared" si="8"/>
        <v>1.9756203125</v>
      </c>
      <c r="F176">
        <v>1.9446193126429283</v>
      </c>
    </row>
    <row r="177" spans="1:6" x14ac:dyDescent="0.2">
      <c r="A177" s="15" t="s">
        <v>346</v>
      </c>
      <c r="B177" t="s">
        <v>347</v>
      </c>
      <c r="C177">
        <v>2.0426014000000001</v>
      </c>
      <c r="D177">
        <f t="shared" si="7"/>
        <v>2.0426014000000001</v>
      </c>
      <c r="E177">
        <f t="shared" si="8"/>
        <v>1.9459837583333333</v>
      </c>
      <c r="F177">
        <v>1.9292080490968824</v>
      </c>
    </row>
    <row r="178" spans="1:6" x14ac:dyDescent="0.2">
      <c r="A178" s="15" t="s">
        <v>348</v>
      </c>
      <c r="B178" t="s">
        <v>349</v>
      </c>
      <c r="C178">
        <v>2.0395705</v>
      </c>
      <c r="D178">
        <f t="shared" si="7"/>
        <v>2.0395705</v>
      </c>
      <c r="E178">
        <f t="shared" si="8"/>
        <v>1.9264339374999999</v>
      </c>
      <c r="F178">
        <v>1.9144945753674425</v>
      </c>
    </row>
    <row r="179" spans="1:6" x14ac:dyDescent="0.2">
      <c r="A179" s="15" t="s">
        <v>350</v>
      </c>
      <c r="B179" t="s">
        <v>351</v>
      </c>
      <c r="C179">
        <v>1.7678858</v>
      </c>
      <c r="D179">
        <f t="shared" si="7"/>
        <v>1.7678858</v>
      </c>
      <c r="E179">
        <f t="shared" si="8"/>
        <v>1.8869909874999997</v>
      </c>
      <c r="F179">
        <v>1.9005058309295417</v>
      </c>
    </row>
    <row r="180" spans="1:6" x14ac:dyDescent="0.2">
      <c r="A180" s="15" t="s">
        <v>352</v>
      </c>
      <c r="B180" t="s">
        <v>353</v>
      </c>
      <c r="C180">
        <v>2.0139713000000001</v>
      </c>
      <c r="D180">
        <f t="shared" si="7"/>
        <v>2.0139713000000001</v>
      </c>
      <c r="E180">
        <f t="shared" si="8"/>
        <v>1.8416096374999997</v>
      </c>
      <c r="F180">
        <v>1.8872697203501247</v>
      </c>
    </row>
    <row r="181" spans="1:6" x14ac:dyDescent="0.2">
      <c r="A181" s="15" t="s">
        <v>354</v>
      </c>
      <c r="B181" t="s">
        <v>355</v>
      </c>
      <c r="C181">
        <v>1.5794187</v>
      </c>
      <c r="D181">
        <f t="shared" si="7"/>
        <v>1.5794187</v>
      </c>
      <c r="E181">
        <f t="shared" si="8"/>
        <v>1.7759298999999997</v>
      </c>
      <c r="F181">
        <v>1.8748131248934283</v>
      </c>
    </row>
    <row r="182" spans="1:6" x14ac:dyDescent="0.2">
      <c r="A182" s="15" t="s">
        <v>356</v>
      </c>
      <c r="B182" t="s">
        <v>357</v>
      </c>
      <c r="C182">
        <v>1.6686874</v>
      </c>
      <c r="D182">
        <f t="shared" si="7"/>
        <v>1.6686874</v>
      </c>
      <c r="E182">
        <f t="shared" si="8"/>
        <v>1.7140670541666669</v>
      </c>
      <c r="F182">
        <v>1.8631639034593352</v>
      </c>
    </row>
    <row r="183" spans="1:6" x14ac:dyDescent="0.2">
      <c r="A183" s="15" t="s">
        <v>358</v>
      </c>
      <c r="B183" t="s">
        <v>359</v>
      </c>
      <c r="C183">
        <v>1.3893466999999999</v>
      </c>
      <c r="D183">
        <f t="shared" si="7"/>
        <v>1.3893466999999999</v>
      </c>
      <c r="E183">
        <f t="shared" si="8"/>
        <v>1.6719594541666669</v>
      </c>
      <c r="F183">
        <v>1.8523476356697579</v>
      </c>
    </row>
    <row r="184" spans="1:6" x14ac:dyDescent="0.2">
      <c r="A184" s="15" t="s">
        <v>360</v>
      </c>
      <c r="B184" t="s">
        <v>361</v>
      </c>
      <c r="C184">
        <v>1.7336001000000001</v>
      </c>
      <c r="D184">
        <f t="shared" si="7"/>
        <v>1.7336001000000001</v>
      </c>
      <c r="E184">
        <f t="shared" si="8"/>
        <v>1.6200001666666672</v>
      </c>
      <c r="F184">
        <v>1.842388400556304</v>
      </c>
    </row>
    <row r="185" spans="1:6" x14ac:dyDescent="0.2">
      <c r="A185" s="15" t="s">
        <v>362</v>
      </c>
      <c r="B185" t="s">
        <v>363</v>
      </c>
      <c r="C185">
        <v>1.5152794999999999</v>
      </c>
      <c r="D185">
        <f t="shared" si="7"/>
        <v>1.5152794999999999</v>
      </c>
      <c r="E185">
        <f t="shared" si="8"/>
        <v>1.5590000875000005</v>
      </c>
      <c r="F185">
        <v>1.8333067046124976</v>
      </c>
    </row>
    <row r="186" spans="1:6" x14ac:dyDescent="0.2">
      <c r="A186" s="15" t="s">
        <v>364</v>
      </c>
      <c r="B186" t="s">
        <v>365</v>
      </c>
      <c r="C186">
        <v>1.5624571</v>
      </c>
      <c r="D186">
        <f t="shared" si="7"/>
        <v>1.5624571</v>
      </c>
      <c r="E186">
        <f t="shared" si="8"/>
        <v>1.4993219333333334</v>
      </c>
      <c r="F186">
        <v>1.8251222149159638</v>
      </c>
    </row>
    <row r="187" spans="1:6" x14ac:dyDescent="0.2">
      <c r="A187" s="15" t="s">
        <v>366</v>
      </c>
      <c r="B187" t="s">
        <v>367</v>
      </c>
      <c r="C187">
        <v>1.470942</v>
      </c>
      <c r="D187">
        <f t="shared" si="7"/>
        <v>1.470942</v>
      </c>
      <c r="E187">
        <f t="shared" si="8"/>
        <v>1.4664790874999998</v>
      </c>
      <c r="F187">
        <v>1.8178521446307121</v>
      </c>
    </row>
    <row r="188" spans="1:6" x14ac:dyDescent="0.2">
      <c r="A188" s="15" t="s">
        <v>368</v>
      </c>
      <c r="B188" t="s">
        <v>369</v>
      </c>
      <c r="C188">
        <v>1.4074312</v>
      </c>
      <c r="D188">
        <f t="shared" si="7"/>
        <v>1.4074312</v>
      </c>
      <c r="E188">
        <f t="shared" si="8"/>
        <v>1.4443628833333335</v>
      </c>
      <c r="F188">
        <v>1.8115116801837534</v>
      </c>
    </row>
    <row r="189" spans="1:6" x14ac:dyDescent="0.2">
      <c r="A189" s="15" t="s">
        <v>370</v>
      </c>
      <c r="B189" t="s">
        <v>371</v>
      </c>
      <c r="C189">
        <v>1.2541142000000001</v>
      </c>
      <c r="D189">
        <f t="shared" si="7"/>
        <v>1.2541142000000001</v>
      </c>
      <c r="E189">
        <f t="shared" si="8"/>
        <v>1.4307832291666671</v>
      </c>
      <c r="F189">
        <v>1.8061133312262914</v>
      </c>
    </row>
    <row r="190" spans="1:6" x14ac:dyDescent="0.2">
      <c r="A190" s="15" t="s">
        <v>372</v>
      </c>
      <c r="B190" t="s">
        <v>373</v>
      </c>
      <c r="C190">
        <v>1.2159930000000001</v>
      </c>
      <c r="D190">
        <f t="shared" si="7"/>
        <v>1.2159930000000001</v>
      </c>
      <c r="E190">
        <f t="shared" si="8"/>
        <v>1.4113035291666669</v>
      </c>
      <c r="F190">
        <v>1.8016664895045895</v>
      </c>
    </row>
    <row r="191" spans="1:6" x14ac:dyDescent="0.2">
      <c r="A191" s="15" t="s">
        <v>374</v>
      </c>
      <c r="B191" t="s">
        <v>375</v>
      </c>
      <c r="C191">
        <v>1.1155436000000001</v>
      </c>
      <c r="D191">
        <f t="shared" si="7"/>
        <v>1.1155436000000001</v>
      </c>
      <c r="E191">
        <f t="shared" si="8"/>
        <v>1.3970000875000002</v>
      </c>
      <c r="F191">
        <v>1.7981762875123561</v>
      </c>
    </row>
    <row r="192" spans="1:6" x14ac:dyDescent="0.2">
      <c r="A192" s="15" t="s">
        <v>376</v>
      </c>
      <c r="B192" t="s">
        <v>377</v>
      </c>
      <c r="C192">
        <v>0.55553770000000002</v>
      </c>
      <c r="D192">
        <f t="shared" si="7"/>
        <v>0.55553770000000002</v>
      </c>
      <c r="E192">
        <f t="shared" si="8"/>
        <v>1.3928458166666668</v>
      </c>
      <c r="F192">
        <v>1.795643338657732</v>
      </c>
    </row>
    <row r="193" spans="1:6" x14ac:dyDescent="0.2">
      <c r="A193" s="15" t="s">
        <v>378</v>
      </c>
      <c r="B193" t="s">
        <v>379</v>
      </c>
      <c r="C193">
        <v>0.82335999999999998</v>
      </c>
      <c r="D193">
        <f t="shared" si="7"/>
        <v>0.82335999999999998</v>
      </c>
      <c r="E193">
        <f t="shared" si="8"/>
        <v>1.3939240250000005</v>
      </c>
      <c r="F193">
        <v>1.7940629891213313</v>
      </c>
    </row>
    <row r="194" spans="1:6" x14ac:dyDescent="0.2">
      <c r="A194" s="15" t="s">
        <v>380</v>
      </c>
      <c r="B194" t="s">
        <v>381</v>
      </c>
      <c r="C194">
        <v>1.2272544999999999</v>
      </c>
      <c r="D194">
        <f t="shared" si="7"/>
        <v>1.2272544999999999</v>
      </c>
      <c r="E194">
        <f t="shared" si="8"/>
        <v>1.4231685125000002</v>
      </c>
      <c r="F194">
        <v>1.7934210163674211</v>
      </c>
    </row>
    <row r="195" spans="1:6" x14ac:dyDescent="0.2">
      <c r="A195" s="15" t="s">
        <v>382</v>
      </c>
      <c r="B195" t="s">
        <v>383</v>
      </c>
      <c r="C195">
        <v>1.1089819000000001</v>
      </c>
      <c r="D195">
        <f t="shared" si="7"/>
        <v>1.1089819000000001</v>
      </c>
      <c r="E195">
        <f t="shared" si="8"/>
        <v>1.4371424916666671</v>
      </c>
      <c r="F195">
        <v>1.7936957078680682</v>
      </c>
    </row>
    <row r="196" spans="1:6" x14ac:dyDescent="0.2">
      <c r="A196" s="15" t="s">
        <v>384</v>
      </c>
      <c r="B196" t="s">
        <v>385</v>
      </c>
      <c r="C196">
        <v>0.99270139999999996</v>
      </c>
      <c r="D196">
        <f t="shared" si="7"/>
        <v>0.99270139999999996</v>
      </c>
      <c r="E196">
        <f t="shared" si="8"/>
        <v>1.4626948416666667</v>
      </c>
      <c r="F196">
        <v>1.79486098252654</v>
      </c>
    </row>
    <row r="197" spans="1:6" x14ac:dyDescent="0.2">
      <c r="A197" s="15" t="s">
        <v>386</v>
      </c>
      <c r="B197" t="s">
        <v>387</v>
      </c>
      <c r="C197">
        <v>1.1510043999999999</v>
      </c>
      <c r="D197">
        <f t="shared" si="7"/>
        <v>1.1510043999999999</v>
      </c>
      <c r="E197">
        <f t="shared" si="8"/>
        <v>1.4864119000000002</v>
      </c>
      <c r="F197">
        <v>1.7968854759605504</v>
      </c>
    </row>
    <row r="198" spans="1:6" x14ac:dyDescent="0.2">
      <c r="A198" s="15" t="s">
        <v>388</v>
      </c>
      <c r="B198" t="s">
        <v>389</v>
      </c>
      <c r="C198">
        <v>1.5311823</v>
      </c>
      <c r="D198">
        <f t="shared" si="7"/>
        <v>1.5311823</v>
      </c>
      <c r="E198">
        <f t="shared" si="8"/>
        <v>1.5198385291666667</v>
      </c>
      <c r="F198">
        <v>1.7997316342848615</v>
      </c>
    </row>
    <row r="199" spans="1:6" x14ac:dyDescent="0.2">
      <c r="A199" s="15" t="s">
        <v>390</v>
      </c>
      <c r="B199" t="s">
        <v>391</v>
      </c>
      <c r="C199">
        <v>1.6116374</v>
      </c>
      <c r="D199">
        <f t="shared" si="7"/>
        <v>1.6116374</v>
      </c>
      <c r="E199">
        <f t="shared" si="8"/>
        <v>1.5431826875000001</v>
      </c>
      <c r="F199">
        <v>1.8033569199639581</v>
      </c>
    </row>
    <row r="200" spans="1:6" x14ac:dyDescent="0.2">
      <c r="A200" s="15" t="s">
        <v>392</v>
      </c>
      <c r="B200" t="s">
        <v>393</v>
      </c>
      <c r="C200">
        <v>1.5602954</v>
      </c>
      <c r="D200">
        <f t="shared" si="7"/>
        <v>1.5602954</v>
      </c>
      <c r="E200">
        <f t="shared" si="8"/>
        <v>1.5796385083333335</v>
      </c>
      <c r="F200">
        <v>1.8077167233223996</v>
      </c>
    </row>
    <row r="201" spans="1:6" x14ac:dyDescent="0.2">
      <c r="A201" s="15" t="s">
        <v>394</v>
      </c>
      <c r="B201" t="s">
        <v>395</v>
      </c>
      <c r="C201">
        <v>1.5750885999999999</v>
      </c>
      <c r="D201">
        <f t="shared" si="7"/>
        <v>1.5750885999999999</v>
      </c>
      <c r="E201">
        <f t="shared" si="8"/>
        <v>1.6240412083333331</v>
      </c>
      <c r="F201">
        <v>1.8127649553674621</v>
      </c>
    </row>
    <row r="202" spans="1:6" x14ac:dyDescent="0.2">
      <c r="A202" s="15" t="s">
        <v>396</v>
      </c>
      <c r="B202" t="s">
        <v>397</v>
      </c>
      <c r="C202">
        <v>1.6962879</v>
      </c>
      <c r="D202">
        <f t="shared" si="7"/>
        <v>1.6962879</v>
      </c>
      <c r="E202">
        <f t="shared" si="8"/>
        <v>1.6868179208333329</v>
      </c>
      <c r="F202">
        <v>1.8184536179912723</v>
      </c>
    </row>
    <row r="203" spans="1:6" x14ac:dyDescent="0.2">
      <c r="A203" s="15" t="s">
        <v>398</v>
      </c>
      <c r="B203" t="s">
        <v>399</v>
      </c>
      <c r="C203">
        <v>1.6681832999999999</v>
      </c>
      <c r="D203">
        <f t="shared" si="7"/>
        <v>1.6681832999999999</v>
      </c>
      <c r="E203">
        <f t="shared" si="8"/>
        <v>1.7540025833333333</v>
      </c>
      <c r="F203">
        <v>1.8247328791634621</v>
      </c>
    </row>
    <row r="204" spans="1:6" x14ac:dyDescent="0.2">
      <c r="A204" s="15" t="s">
        <v>400</v>
      </c>
      <c r="B204" t="s">
        <v>401</v>
      </c>
      <c r="C204">
        <v>2.0398483000000001</v>
      </c>
      <c r="D204">
        <f t="shared" si="7"/>
        <v>2.0398483000000001</v>
      </c>
      <c r="E204">
        <f t="shared" si="8"/>
        <v>1.8211179666666668</v>
      </c>
      <c r="F204">
        <v>1.8315519642169504</v>
      </c>
    </row>
    <row r="205" spans="1:6" x14ac:dyDescent="0.2">
      <c r="A205" s="15" t="s">
        <v>402</v>
      </c>
      <c r="B205" t="s">
        <v>403</v>
      </c>
      <c r="C205">
        <v>2.2812863999999999</v>
      </c>
      <c r="D205">
        <f t="shared" si="7"/>
        <v>2.2812863999999999</v>
      </c>
      <c r="E205">
        <f t="shared" si="8"/>
        <v>1.8925290916666668</v>
      </c>
      <c r="F205">
        <v>1.8388588905403729</v>
      </c>
    </row>
    <row r="206" spans="1:6" x14ac:dyDescent="0.2">
      <c r="A206" s="15" t="s">
        <v>404</v>
      </c>
      <c r="B206" t="s">
        <v>405</v>
      </c>
      <c r="C206">
        <v>2.0040629000000001</v>
      </c>
      <c r="D206">
        <f t="shared" si="7"/>
        <v>2.0040629000000001</v>
      </c>
      <c r="E206">
        <f t="shared" si="8"/>
        <v>1.9373980458333335</v>
      </c>
      <c r="F206">
        <v>1.8466032827471779</v>
      </c>
    </row>
    <row r="207" spans="1:6" x14ac:dyDescent="0.2">
      <c r="A207" s="15" t="s">
        <v>406</v>
      </c>
      <c r="B207" t="s">
        <v>407</v>
      </c>
      <c r="C207">
        <v>2.0026031</v>
      </c>
      <c r="D207">
        <f t="shared" si="7"/>
        <v>2.0026031</v>
      </c>
      <c r="E207">
        <f t="shared" si="8"/>
        <v>1.9342432916666672</v>
      </c>
      <c r="F207">
        <v>1.8547381792433251</v>
      </c>
    </row>
    <row r="208" spans="1:6" x14ac:dyDescent="0.2">
      <c r="A208" s="15" t="s">
        <v>408</v>
      </c>
      <c r="B208" t="s">
        <v>409</v>
      </c>
      <c r="C208">
        <v>2.3028095</v>
      </c>
      <c r="D208">
        <f t="shared" si="7"/>
        <v>2.3028095</v>
      </c>
      <c r="E208">
        <f t="shared" si="8"/>
        <v>1.9414424583333336</v>
      </c>
      <c r="F208">
        <v>1.8632178334009561</v>
      </c>
    </row>
    <row r="209" spans="1:6" x14ac:dyDescent="0.2">
      <c r="A209" s="15" t="s">
        <v>410</v>
      </c>
      <c r="B209" t="s">
        <v>411</v>
      </c>
      <c r="C209">
        <v>2.3175186000000001</v>
      </c>
      <c r="D209">
        <f t="shared" ref="D209:D272" si="9">C209</f>
        <v>2.3175186000000001</v>
      </c>
      <c r="E209">
        <f t="shared" si="8"/>
        <v>1.9430692875000002</v>
      </c>
      <c r="F209">
        <v>1.8719976395252433</v>
      </c>
    </row>
    <row r="210" spans="1:6" x14ac:dyDescent="0.2">
      <c r="A210" s="15" t="s">
        <v>412</v>
      </c>
      <c r="B210" t="s">
        <v>413</v>
      </c>
      <c r="C210">
        <v>2.1227168999999999</v>
      </c>
      <c r="D210">
        <f t="shared" si="9"/>
        <v>2.1227168999999999</v>
      </c>
      <c r="E210">
        <f t="shared" si="8"/>
        <v>1.9300845625000003</v>
      </c>
      <c r="F210">
        <v>1.881036383832366</v>
      </c>
    </row>
    <row r="211" spans="1:6" x14ac:dyDescent="0.2">
      <c r="A211" s="15" t="s">
        <v>414</v>
      </c>
      <c r="B211" t="s">
        <v>415</v>
      </c>
      <c r="C211">
        <v>2.3458817000000001</v>
      </c>
      <c r="D211">
        <f t="shared" si="9"/>
        <v>2.3458817000000001</v>
      </c>
      <c r="E211">
        <f t="shared" si="8"/>
        <v>1.8858899750000002</v>
      </c>
      <c r="F211">
        <v>1.890296290200236</v>
      </c>
    </row>
    <row r="212" spans="1:6" x14ac:dyDescent="0.2">
      <c r="A212" s="15" t="s">
        <v>416</v>
      </c>
      <c r="B212" t="s">
        <v>417</v>
      </c>
      <c r="C212">
        <v>2.473096</v>
      </c>
      <c r="D212">
        <f t="shared" si="9"/>
        <v>2.473096</v>
      </c>
      <c r="E212">
        <f t="shared" si="8"/>
        <v>1.8596861875000004</v>
      </c>
      <c r="F212">
        <v>1.8997414473255618</v>
      </c>
    </row>
    <row r="213" spans="1:6" x14ac:dyDescent="0.2">
      <c r="A213" s="15" t="s">
        <v>418</v>
      </c>
      <c r="B213" t="s">
        <v>419</v>
      </c>
      <c r="C213">
        <v>2.7607553</v>
      </c>
      <c r="D213">
        <f t="shared" si="9"/>
        <v>2.7607553</v>
      </c>
      <c r="E213">
        <f t="shared" si="8"/>
        <v>1.8248101625000004</v>
      </c>
      <c r="F213">
        <v>1.9093394592245718</v>
      </c>
    </row>
    <row r="214" spans="1:6" x14ac:dyDescent="0.2">
      <c r="A214" s="15" t="s">
        <v>420</v>
      </c>
      <c r="B214" t="s">
        <v>421</v>
      </c>
      <c r="C214">
        <v>2.8284248999999999</v>
      </c>
      <c r="D214">
        <f t="shared" si="9"/>
        <v>2.8284248999999999</v>
      </c>
      <c r="E214">
        <f t="shared" si="8"/>
        <v>1.7970669583333334</v>
      </c>
      <c r="F214">
        <v>1.9190623539455369</v>
      </c>
    </row>
    <row r="215" spans="1:6" x14ac:dyDescent="0.2">
      <c r="A215" s="15" t="s">
        <v>422</v>
      </c>
      <c r="B215" t="s">
        <v>423</v>
      </c>
      <c r="C215">
        <v>2.7263128000000001</v>
      </c>
      <c r="D215">
        <f t="shared" si="9"/>
        <v>2.7263128000000001</v>
      </c>
      <c r="E215">
        <f t="shared" si="8"/>
        <v>1.7561595125</v>
      </c>
      <c r="F215">
        <v>1.9288887291034011</v>
      </c>
    </row>
    <row r="216" spans="1:6" x14ac:dyDescent="0.2">
      <c r="A216" s="15" t="s">
        <v>424</v>
      </c>
      <c r="B216" t="s">
        <v>425</v>
      </c>
      <c r="C216">
        <v>2.2694046999999999</v>
      </c>
      <c r="D216">
        <f t="shared" si="9"/>
        <v>2.2694046999999999</v>
      </c>
      <c r="E216">
        <f t="shared" si="8"/>
        <v>1.7156536666666671</v>
      </c>
      <c r="F216">
        <v>1.9388041989994205</v>
      </c>
    </row>
    <row r="217" spans="1:6" x14ac:dyDescent="0.2">
      <c r="A217" s="15" t="s">
        <v>426</v>
      </c>
      <c r="B217" t="s">
        <v>427</v>
      </c>
      <c r="C217">
        <v>1.9002148999999999</v>
      </c>
      <c r="D217">
        <f t="shared" si="9"/>
        <v>1.9002148999999999</v>
      </c>
      <c r="E217">
        <f t="shared" si="8"/>
        <v>1.6683390875000004</v>
      </c>
      <c r="F217">
        <v>1.9488005308983603</v>
      </c>
    </row>
    <row r="218" spans="1:6" x14ac:dyDescent="0.2">
      <c r="A218" s="15" t="s">
        <v>428</v>
      </c>
      <c r="B218" t="s">
        <v>429</v>
      </c>
      <c r="C218">
        <v>1.1515404</v>
      </c>
      <c r="D218">
        <f t="shared" si="9"/>
        <v>1.1515404</v>
      </c>
      <c r="E218">
        <f t="shared" si="8"/>
        <v>1.6239448833333336</v>
      </c>
      <c r="F218">
        <v>1.9588720429947772</v>
      </c>
    </row>
    <row r="219" spans="1:6" x14ac:dyDescent="0.2">
      <c r="A219" s="15" t="s">
        <v>430</v>
      </c>
      <c r="B219" t="s">
        <v>431</v>
      </c>
      <c r="C219">
        <v>1.2817619</v>
      </c>
      <c r="D219">
        <f t="shared" si="9"/>
        <v>1.2817619</v>
      </c>
      <c r="E219">
        <f t="shared" si="8"/>
        <v>1.6277933583333339</v>
      </c>
      <c r="F219">
        <v>1.9690126785941011</v>
      </c>
    </row>
    <row r="220" spans="1:6" x14ac:dyDescent="0.2">
      <c r="A220" s="15" t="s">
        <v>432</v>
      </c>
      <c r="B220" t="s">
        <v>433</v>
      </c>
      <c r="C220">
        <v>1.0317453000000001</v>
      </c>
      <c r="D220">
        <f t="shared" si="9"/>
        <v>1.0317453000000001</v>
      </c>
      <c r="E220">
        <f t="shared" si="8"/>
        <v>1.6396907833333338</v>
      </c>
      <c r="F220">
        <v>1.9792101515909359</v>
      </c>
    </row>
    <row r="221" spans="1:6" x14ac:dyDescent="0.2">
      <c r="A221" s="15" t="s">
        <v>434</v>
      </c>
      <c r="B221" t="s">
        <v>435</v>
      </c>
      <c r="C221">
        <v>0.83937099999999998</v>
      </c>
      <c r="D221">
        <f t="shared" si="9"/>
        <v>0.83937099999999998</v>
      </c>
      <c r="E221">
        <f t="shared" ref="E221:E284" si="10">AVERAGE(C209:C232)</f>
        <v>1.6687360124999999</v>
      </c>
      <c r="F221">
        <v>1.9894468730189399</v>
      </c>
    </row>
    <row r="222" spans="1:6" x14ac:dyDescent="0.2">
      <c r="A222" s="15" t="s">
        <v>436</v>
      </c>
      <c r="B222" t="s">
        <v>437</v>
      </c>
      <c r="C222">
        <v>0.47051219999999999</v>
      </c>
      <c r="D222">
        <f t="shared" si="9"/>
        <v>0.47051219999999999</v>
      </c>
      <c r="E222">
        <f t="shared" si="10"/>
        <v>1.6970264166666669</v>
      </c>
      <c r="F222">
        <v>1.9996979432261879</v>
      </c>
    </row>
    <row r="223" spans="1:6" x14ac:dyDescent="0.2">
      <c r="A223" s="15" t="s">
        <v>438</v>
      </c>
      <c r="B223" t="s">
        <v>439</v>
      </c>
      <c r="C223">
        <v>0.98274649999999997</v>
      </c>
      <c r="D223">
        <f t="shared" si="9"/>
        <v>0.98274649999999997</v>
      </c>
      <c r="E223">
        <f t="shared" si="10"/>
        <v>1.7561620208333337</v>
      </c>
      <c r="F223">
        <v>2.0099295885185251</v>
      </c>
    </row>
    <row r="224" spans="1:6" x14ac:dyDescent="0.2">
      <c r="A224" s="15" t="s">
        <v>440</v>
      </c>
      <c r="B224" t="s">
        <v>441</v>
      </c>
      <c r="C224">
        <v>0.72327079999999999</v>
      </c>
      <c r="D224">
        <f t="shared" si="9"/>
        <v>0.72327079999999999</v>
      </c>
      <c r="E224">
        <f t="shared" si="10"/>
        <v>1.8038062500000003</v>
      </c>
      <c r="F224">
        <v>2.0200962359290866</v>
      </c>
    </row>
    <row r="225" spans="1:6" x14ac:dyDescent="0.2">
      <c r="A225" s="15" t="s">
        <v>442</v>
      </c>
      <c r="B225" t="s">
        <v>443</v>
      </c>
      <c r="C225">
        <v>0.9092517</v>
      </c>
      <c r="D225">
        <f t="shared" si="9"/>
        <v>0.9092517</v>
      </c>
      <c r="E225">
        <f t="shared" si="10"/>
        <v>1.8729745791666668</v>
      </c>
      <c r="F225">
        <v>2.0301443866955711</v>
      </c>
    </row>
    <row r="226" spans="1:6" x14ac:dyDescent="0.2">
      <c r="A226" s="15" t="s">
        <v>444</v>
      </c>
      <c r="B226" t="s">
        <v>445</v>
      </c>
      <c r="C226">
        <v>0.71450919999999996</v>
      </c>
      <c r="D226">
        <f t="shared" si="9"/>
        <v>0.71450919999999996</v>
      </c>
      <c r="E226">
        <f t="shared" si="10"/>
        <v>1.9423161958333333</v>
      </c>
      <c r="F226">
        <v>2.0400105356865721</v>
      </c>
    </row>
    <row r="227" spans="1:6" x14ac:dyDescent="0.2">
      <c r="A227" s="15" t="s">
        <v>446</v>
      </c>
      <c r="B227" t="s">
        <v>447</v>
      </c>
      <c r="C227">
        <v>0.69604299999999997</v>
      </c>
      <c r="D227">
        <f t="shared" si="9"/>
        <v>0.69604299999999997</v>
      </c>
      <c r="E227">
        <f t="shared" si="10"/>
        <v>2.0198267125</v>
      </c>
      <c r="F227">
        <v>2.0496225289073609</v>
      </c>
    </row>
    <row r="228" spans="1:6" x14ac:dyDescent="0.2">
      <c r="A228" s="15" t="s">
        <v>448</v>
      </c>
      <c r="B228" t="s">
        <v>449</v>
      </c>
      <c r="C228">
        <v>0.90429839999999995</v>
      </c>
      <c r="D228">
        <f t="shared" si="9"/>
        <v>0.90429839999999995</v>
      </c>
      <c r="E228">
        <f t="shared" si="10"/>
        <v>2.0767091916666667</v>
      </c>
      <c r="F228">
        <v>2.0588979847294451</v>
      </c>
    </row>
    <row r="229" spans="1:6" x14ac:dyDescent="0.2">
      <c r="A229" s="15" t="s">
        <v>450</v>
      </c>
      <c r="B229" t="s">
        <v>451</v>
      </c>
      <c r="C229">
        <v>1.2158255</v>
      </c>
      <c r="D229">
        <f t="shared" si="9"/>
        <v>1.2158255</v>
      </c>
      <c r="E229">
        <f t="shared" si="10"/>
        <v>2.1557748541666668</v>
      </c>
      <c r="F229">
        <v>2.0677440772378444</v>
      </c>
    </row>
    <row r="230" spans="1:6" x14ac:dyDescent="0.2">
      <c r="A230" s="15" t="s">
        <v>452</v>
      </c>
      <c r="B230" t="s">
        <v>453</v>
      </c>
      <c r="C230">
        <v>2.0964263000000001</v>
      </c>
      <c r="D230">
        <f t="shared" si="9"/>
        <v>2.0964263000000001</v>
      </c>
      <c r="E230">
        <f t="shared" si="10"/>
        <v>2.2392602166666671</v>
      </c>
      <c r="F230">
        <v>2.0760590715701652</v>
      </c>
    </row>
    <row r="231" spans="1:6" x14ac:dyDescent="0.2">
      <c r="A231" s="15" t="s">
        <v>454</v>
      </c>
      <c r="B231" t="s">
        <v>455</v>
      </c>
      <c r="C231">
        <v>2.2881412999999999</v>
      </c>
      <c r="D231">
        <f t="shared" si="9"/>
        <v>2.2881412999999999</v>
      </c>
      <c r="E231">
        <f t="shared" si="10"/>
        <v>2.330236545833333</v>
      </c>
      <c r="F231">
        <v>2.083734659418202</v>
      </c>
    </row>
    <row r="232" spans="1:6" x14ac:dyDescent="0.2">
      <c r="A232" s="15" t="s">
        <v>456</v>
      </c>
      <c r="B232" t="s">
        <v>457</v>
      </c>
      <c r="C232">
        <v>2.999895</v>
      </c>
      <c r="D232">
        <f t="shared" si="9"/>
        <v>2.999895</v>
      </c>
      <c r="E232">
        <f t="shared" si="10"/>
        <v>2.4006474208333333</v>
      </c>
      <c r="F232">
        <v>2.0906626896282896</v>
      </c>
    </row>
    <row r="233" spans="1:6" x14ac:dyDescent="0.2">
      <c r="A233" s="15" t="s">
        <v>458</v>
      </c>
      <c r="B233" t="s">
        <v>459</v>
      </c>
      <c r="C233">
        <v>2.9964883000000002</v>
      </c>
      <c r="D233">
        <f t="shared" si="9"/>
        <v>2.9964883000000002</v>
      </c>
      <c r="E233">
        <f t="shared" si="10"/>
        <v>2.4910609500000001</v>
      </c>
      <c r="F233">
        <v>2.0967365882584956</v>
      </c>
    </row>
    <row r="234" spans="1:6" x14ac:dyDescent="0.2">
      <c r="A234" s="15" t="s">
        <v>460</v>
      </c>
      <c r="B234" t="s">
        <v>461</v>
      </c>
      <c r="C234">
        <v>3.5419714</v>
      </c>
      <c r="D234">
        <f t="shared" si="9"/>
        <v>3.5419714</v>
      </c>
      <c r="E234">
        <f t="shared" si="10"/>
        <v>2.5938369250000002</v>
      </c>
      <c r="F234">
        <v>2.1018567970482951</v>
      </c>
    </row>
    <row r="235" spans="1:6" x14ac:dyDescent="0.2">
      <c r="A235" s="15" t="s">
        <v>462</v>
      </c>
      <c r="B235" t="s">
        <v>463</v>
      </c>
      <c r="C235">
        <v>3.4893432</v>
      </c>
      <c r="D235">
        <f t="shared" si="9"/>
        <v>3.4893432</v>
      </c>
      <c r="E235">
        <f t="shared" si="10"/>
        <v>2.6736766416666669</v>
      </c>
      <c r="F235">
        <v>2.105930700265803</v>
      </c>
    </row>
    <row r="236" spans="1:6" x14ac:dyDescent="0.2">
      <c r="A236" s="15" t="s">
        <v>464</v>
      </c>
      <c r="B236" t="s">
        <v>465</v>
      </c>
      <c r="C236">
        <v>4.1331359000000001</v>
      </c>
      <c r="D236">
        <f t="shared" si="9"/>
        <v>4.1331359000000001</v>
      </c>
      <c r="E236">
        <f t="shared" si="10"/>
        <v>2.7396896708333336</v>
      </c>
      <c r="F236">
        <v>2.1088767941745274</v>
      </c>
    </row>
    <row r="237" spans="1:6" x14ac:dyDescent="0.2">
      <c r="A237" s="15" t="s">
        <v>466</v>
      </c>
      <c r="B237" t="s">
        <v>467</v>
      </c>
      <c r="C237">
        <v>4.4249540999999999</v>
      </c>
      <c r="D237">
        <f t="shared" si="9"/>
        <v>4.4249540999999999</v>
      </c>
      <c r="E237">
        <f t="shared" si="10"/>
        <v>2.7922272916666668</v>
      </c>
      <c r="F237">
        <v>2.1106242495171408</v>
      </c>
    </row>
    <row r="238" spans="1:6" x14ac:dyDescent="0.2">
      <c r="A238" s="15" t="s">
        <v>468</v>
      </c>
      <c r="B238" t="s">
        <v>469</v>
      </c>
      <c r="C238">
        <v>4.6886773000000002</v>
      </c>
      <c r="D238">
        <f t="shared" si="9"/>
        <v>4.6886773000000002</v>
      </c>
      <c r="E238">
        <f t="shared" si="10"/>
        <v>2.8455846791666666</v>
      </c>
      <c r="F238">
        <v>2.1111178563195399</v>
      </c>
    </row>
    <row r="239" spans="1:6" x14ac:dyDescent="0.2">
      <c r="A239" s="15" t="s">
        <v>470</v>
      </c>
      <c r="B239" t="s">
        <v>471</v>
      </c>
      <c r="C239">
        <v>4.0914922999999996</v>
      </c>
      <c r="D239">
        <f t="shared" si="9"/>
        <v>4.0914922999999996</v>
      </c>
      <c r="E239">
        <f t="shared" si="10"/>
        <v>2.8954128416666673</v>
      </c>
      <c r="F239">
        <v>2.1103202620910357</v>
      </c>
    </row>
    <row r="240" spans="1:6" x14ac:dyDescent="0.2">
      <c r="A240" s="15" t="s">
        <v>472</v>
      </c>
      <c r="B240" t="s">
        <v>473</v>
      </c>
      <c r="C240">
        <v>4.1669805999999996</v>
      </c>
      <c r="D240">
        <f t="shared" si="9"/>
        <v>4.1669805999999996</v>
      </c>
      <c r="E240">
        <f t="shared" si="10"/>
        <v>2.9429894583333343</v>
      </c>
      <c r="F240">
        <v>2.1082140029168945</v>
      </c>
    </row>
    <row r="241" spans="1:6" x14ac:dyDescent="0.2">
      <c r="A241" s="15" t="s">
        <v>474</v>
      </c>
      <c r="B241" t="s">
        <v>475</v>
      </c>
      <c r="C241">
        <v>3.9038636000000002</v>
      </c>
      <c r="D241">
        <f t="shared" si="9"/>
        <v>3.9038636000000002</v>
      </c>
      <c r="E241">
        <f t="shared" si="10"/>
        <v>2.9716485541666668</v>
      </c>
      <c r="F241">
        <v>2.1047969017036623</v>
      </c>
    </row>
    <row r="242" spans="1:6" x14ac:dyDescent="0.2">
      <c r="A242" s="15" t="s">
        <v>476</v>
      </c>
      <c r="B242" t="s">
        <v>477</v>
      </c>
      <c r="C242">
        <v>3.3349723</v>
      </c>
      <c r="D242">
        <f t="shared" si="9"/>
        <v>3.3349723</v>
      </c>
      <c r="E242">
        <f t="shared" si="10"/>
        <v>2.980544341666667</v>
      </c>
      <c r="F242">
        <v>2.1000826669026167</v>
      </c>
    </row>
    <row r="243" spans="1:6" x14ac:dyDescent="0.2">
      <c r="A243" s="15" t="s">
        <v>478</v>
      </c>
      <c r="B243" t="s">
        <v>479</v>
      </c>
      <c r="C243">
        <v>2.9716228999999998</v>
      </c>
      <c r="D243">
        <f t="shared" si="9"/>
        <v>2.9716228999999998</v>
      </c>
      <c r="E243">
        <f t="shared" si="10"/>
        <v>2.9689538583333341</v>
      </c>
      <c r="F243">
        <v>2.0940988886525225</v>
      </c>
    </row>
    <row r="244" spans="1:6" x14ac:dyDescent="0.2">
      <c r="A244" s="15" t="s">
        <v>480</v>
      </c>
      <c r="B244" t="s">
        <v>481</v>
      </c>
      <c r="C244">
        <v>3.20167</v>
      </c>
      <c r="D244">
        <f t="shared" si="9"/>
        <v>3.20167</v>
      </c>
      <c r="E244">
        <f t="shared" si="10"/>
        <v>2.9508437750000005</v>
      </c>
      <c r="F244">
        <v>2.0868826855615352</v>
      </c>
    </row>
    <row r="245" spans="1:6" x14ac:dyDescent="0.2">
      <c r="A245" s="15" t="s">
        <v>482</v>
      </c>
      <c r="B245" t="s">
        <v>483</v>
      </c>
      <c r="C245">
        <v>3.3059943999999999</v>
      </c>
      <c r="D245">
        <f t="shared" si="9"/>
        <v>3.3059943999999999</v>
      </c>
      <c r="E245">
        <f t="shared" si="10"/>
        <v>2.8938743958333326</v>
      </c>
      <c r="F245">
        <v>2.0784779472564168</v>
      </c>
    </row>
    <row r="246" spans="1:6" x14ac:dyDescent="0.2">
      <c r="A246" s="15" t="s">
        <v>484</v>
      </c>
      <c r="B246" t="s">
        <v>485</v>
      </c>
      <c r="C246">
        <v>2.3866654</v>
      </c>
      <c r="D246">
        <f t="shared" si="9"/>
        <v>2.3866654</v>
      </c>
      <c r="E246">
        <f t="shared" si="10"/>
        <v>2.8554701999999992</v>
      </c>
      <c r="F246">
        <v>2.0689371651178985</v>
      </c>
    </row>
    <row r="247" spans="1:6" x14ac:dyDescent="0.2">
      <c r="A247" s="15" t="s">
        <v>486</v>
      </c>
      <c r="B247" t="s">
        <v>487</v>
      </c>
      <c r="C247">
        <v>2.5670592000000001</v>
      </c>
      <c r="D247">
        <f t="shared" si="9"/>
        <v>2.5670592000000001</v>
      </c>
      <c r="E247">
        <f t="shared" si="10"/>
        <v>2.7823853333333335</v>
      </c>
      <c r="F247">
        <v>2.0583223021042794</v>
      </c>
    </row>
    <row r="248" spans="1:6" x14ac:dyDescent="0.2">
      <c r="A248" s="15" t="s">
        <v>488</v>
      </c>
      <c r="B248" t="s">
        <v>489</v>
      </c>
      <c r="C248">
        <v>1.9841736999999999</v>
      </c>
      <c r="D248">
        <f t="shared" si="9"/>
        <v>1.9841736999999999</v>
      </c>
      <c r="E248">
        <f t="shared" si="10"/>
        <v>2.714513175</v>
      </c>
      <c r="F248">
        <v>2.0466977727806102</v>
      </c>
    </row>
    <row r="249" spans="1:6" x14ac:dyDescent="0.2">
      <c r="A249" s="15" t="s">
        <v>490</v>
      </c>
      <c r="B249" t="s">
        <v>491</v>
      </c>
      <c r="C249">
        <v>2.189829</v>
      </c>
      <c r="D249">
        <f t="shared" si="9"/>
        <v>2.189829</v>
      </c>
      <c r="E249">
        <f t="shared" si="10"/>
        <v>2.6117774833333329</v>
      </c>
      <c r="F249">
        <v>2.0341319171509684</v>
      </c>
    </row>
    <row r="250" spans="1:6" x14ac:dyDescent="0.2">
      <c r="A250" s="15" t="s">
        <v>492</v>
      </c>
      <c r="B250" t="s">
        <v>493</v>
      </c>
      <c r="C250">
        <v>1.9103851000000001</v>
      </c>
      <c r="D250">
        <f t="shared" si="9"/>
        <v>1.9103851000000001</v>
      </c>
      <c r="E250">
        <f t="shared" si="10"/>
        <v>2.4971703875000002</v>
      </c>
      <c r="F250">
        <v>2.0206925927805992</v>
      </c>
    </row>
    <row r="251" spans="1:6" x14ac:dyDescent="0.2">
      <c r="A251" s="15" t="s">
        <v>494</v>
      </c>
      <c r="B251" t="s">
        <v>495</v>
      </c>
      <c r="C251">
        <v>1.8378817999999999</v>
      </c>
      <c r="D251">
        <f t="shared" si="9"/>
        <v>1.8378817999999999</v>
      </c>
      <c r="E251">
        <f t="shared" si="10"/>
        <v>2.3850039749999996</v>
      </c>
      <c r="F251">
        <v>2.0064488586011273</v>
      </c>
    </row>
    <row r="252" spans="1:6" x14ac:dyDescent="0.2">
      <c r="A252" s="15" t="s">
        <v>496</v>
      </c>
      <c r="B252" t="s">
        <v>497</v>
      </c>
      <c r="C252">
        <v>1.5921167000000001</v>
      </c>
      <c r="D252">
        <f t="shared" si="9"/>
        <v>1.5921167000000001</v>
      </c>
      <c r="E252">
        <f t="shared" si="10"/>
        <v>2.2855456624999997</v>
      </c>
      <c r="F252">
        <v>1.9914689224061166</v>
      </c>
    </row>
    <row r="253" spans="1:6" x14ac:dyDescent="0.2">
      <c r="A253" s="15" t="s">
        <v>498</v>
      </c>
      <c r="B253" t="s">
        <v>499</v>
      </c>
      <c r="C253">
        <v>1.4293244000000001</v>
      </c>
      <c r="D253">
        <f t="shared" si="9"/>
        <v>1.4293244000000001</v>
      </c>
      <c r="E253">
        <f t="shared" si="10"/>
        <v>2.1550255166666665</v>
      </c>
      <c r="F253">
        <v>1.9758196913173822</v>
      </c>
    </row>
    <row r="254" spans="1:6" x14ac:dyDescent="0.2">
      <c r="A254" s="15" t="s">
        <v>500</v>
      </c>
      <c r="B254" t="s">
        <v>501</v>
      </c>
      <c r="C254">
        <v>1.8182547</v>
      </c>
      <c r="D254">
        <f t="shared" si="9"/>
        <v>1.8182547</v>
      </c>
      <c r="E254">
        <f t="shared" si="10"/>
        <v>2.0372711625000002</v>
      </c>
      <c r="F254">
        <v>1.9595649910352706</v>
      </c>
    </row>
    <row r="255" spans="1:6" x14ac:dyDescent="0.2">
      <c r="A255" s="15" t="s">
        <v>502</v>
      </c>
      <c r="B255" t="s">
        <v>503</v>
      </c>
      <c r="C255">
        <v>1.8534993</v>
      </c>
      <c r="D255">
        <f t="shared" si="9"/>
        <v>1.8534993</v>
      </c>
      <c r="E255">
        <f t="shared" si="10"/>
        <v>1.9563034541666664</v>
      </c>
      <c r="F255">
        <v>1.9427644304754734</v>
      </c>
    </row>
    <row r="256" spans="1:6" x14ac:dyDescent="0.2">
      <c r="A256" s="15" t="s">
        <v>504</v>
      </c>
      <c r="B256" t="s">
        <v>505</v>
      </c>
      <c r="C256">
        <v>1.6326299</v>
      </c>
      <c r="D256">
        <f t="shared" si="9"/>
        <v>1.6326299</v>
      </c>
      <c r="E256">
        <f t="shared" si="10"/>
        <v>1.8863451208333331</v>
      </c>
      <c r="F256">
        <v>1.9254765281964985</v>
      </c>
    </row>
    <row r="257" spans="1:6" x14ac:dyDescent="0.2">
      <c r="A257" s="15" t="s">
        <v>506</v>
      </c>
      <c r="B257" t="s">
        <v>507</v>
      </c>
      <c r="C257">
        <v>2.0747876000000001</v>
      </c>
      <c r="D257">
        <f t="shared" si="9"/>
        <v>2.0747876000000001</v>
      </c>
      <c r="E257">
        <f t="shared" si="10"/>
        <v>1.803122958333333</v>
      </c>
      <c r="F257">
        <v>1.9077591139826986</v>
      </c>
    </row>
    <row r="258" spans="1:6" x14ac:dyDescent="0.2">
      <c r="A258" s="15" t="s">
        <v>508</v>
      </c>
      <c r="B258" t="s">
        <v>509</v>
      </c>
      <c r="C258">
        <v>1.7879346</v>
      </c>
      <c r="D258">
        <f t="shared" si="9"/>
        <v>1.7879346</v>
      </c>
      <c r="E258">
        <f t="shared" si="10"/>
        <v>1.7088768291666667</v>
      </c>
      <c r="F258">
        <v>1.8896677579993815</v>
      </c>
    </row>
    <row r="259" spans="1:6" x14ac:dyDescent="0.2">
      <c r="A259" s="15" t="s">
        <v>510</v>
      </c>
      <c r="B259" t="s">
        <v>511</v>
      </c>
      <c r="C259">
        <v>1.8604114</v>
      </c>
      <c r="D259">
        <f t="shared" si="9"/>
        <v>1.8604114</v>
      </c>
      <c r="E259">
        <f t="shared" si="10"/>
        <v>1.6337143041666671</v>
      </c>
      <c r="F259">
        <v>1.8712593192119014</v>
      </c>
    </row>
    <row r="260" spans="1:6" x14ac:dyDescent="0.2">
      <c r="A260" s="15" t="s">
        <v>512</v>
      </c>
      <c r="B260" t="s">
        <v>513</v>
      </c>
      <c r="C260">
        <v>1.6674793000000001</v>
      </c>
      <c r="D260">
        <f t="shared" si="9"/>
        <v>1.6674793000000001</v>
      </c>
      <c r="E260">
        <f t="shared" si="10"/>
        <v>1.5593317250000001</v>
      </c>
      <c r="F260">
        <v>1.8525898716075415</v>
      </c>
    </row>
    <row r="261" spans="1:6" x14ac:dyDescent="0.2">
      <c r="A261" s="15" t="s">
        <v>514</v>
      </c>
      <c r="B261" t="s">
        <v>515</v>
      </c>
      <c r="C261">
        <v>1.6743838</v>
      </c>
      <c r="D261">
        <f t="shared" si="9"/>
        <v>1.6743838</v>
      </c>
      <c r="E261">
        <f t="shared" si="10"/>
        <v>1.5235555166666666</v>
      </c>
      <c r="F261">
        <v>1.8337154054705047</v>
      </c>
    </row>
    <row r="262" spans="1:6" x14ac:dyDescent="0.2">
      <c r="A262" s="15" t="s">
        <v>516</v>
      </c>
      <c r="B262" t="s">
        <v>517</v>
      </c>
      <c r="C262">
        <v>1.9966834</v>
      </c>
      <c r="D262">
        <f t="shared" si="9"/>
        <v>1.9966834</v>
      </c>
      <c r="E262">
        <f t="shared" si="10"/>
        <v>1.4742290666666669</v>
      </c>
      <c r="F262">
        <v>1.8146904827626815</v>
      </c>
    </row>
    <row r="263" spans="1:6" x14ac:dyDescent="0.2">
      <c r="A263" s="15" t="s">
        <v>518</v>
      </c>
      <c r="B263" t="s">
        <v>519</v>
      </c>
      <c r="C263">
        <v>1.7044927999999999</v>
      </c>
      <c r="D263">
        <f t="shared" si="9"/>
        <v>1.7044927999999999</v>
      </c>
      <c r="E263">
        <f t="shared" si="10"/>
        <v>1.4300044625000001</v>
      </c>
      <c r="F263">
        <v>1.7955684360354265</v>
      </c>
    </row>
    <row r="264" spans="1:6" x14ac:dyDescent="0.2">
      <c r="A264" s="15" t="s">
        <v>520</v>
      </c>
      <c r="B264" t="s">
        <v>521</v>
      </c>
      <c r="C264">
        <v>1.0344971000000001</v>
      </c>
      <c r="D264">
        <f t="shared" si="9"/>
        <v>1.0344971000000001</v>
      </c>
      <c r="E264">
        <f t="shared" si="10"/>
        <v>1.3704275541666668</v>
      </c>
      <c r="F264">
        <v>1.7764040021064302</v>
      </c>
    </row>
    <row r="265" spans="1:6" x14ac:dyDescent="0.2">
      <c r="A265" s="15" t="s">
        <v>522</v>
      </c>
      <c r="B265" t="s">
        <v>523</v>
      </c>
      <c r="C265">
        <v>1.0777591</v>
      </c>
      <c r="D265">
        <f t="shared" si="9"/>
        <v>1.0777591</v>
      </c>
      <c r="E265">
        <f t="shared" si="10"/>
        <v>1.2965340833333336</v>
      </c>
      <c r="F265">
        <v>1.7572512150492785</v>
      </c>
    </row>
    <row r="266" spans="1:6" x14ac:dyDescent="0.2">
      <c r="A266" s="15" t="s">
        <v>524</v>
      </c>
      <c r="B266" t="s">
        <v>525</v>
      </c>
      <c r="C266">
        <v>1.3917473</v>
      </c>
      <c r="D266">
        <f t="shared" si="9"/>
        <v>1.3917473</v>
      </c>
      <c r="E266">
        <f t="shared" si="10"/>
        <v>1.2288864750000001</v>
      </c>
      <c r="F266">
        <v>1.7381583843472628</v>
      </c>
    </row>
    <row r="267" spans="1:6" x14ac:dyDescent="0.2">
      <c r="A267" s="15" t="s">
        <v>526</v>
      </c>
      <c r="B267" t="s">
        <v>527</v>
      </c>
      <c r="C267">
        <v>1.2926229</v>
      </c>
      <c r="D267">
        <f t="shared" si="9"/>
        <v>1.2926229</v>
      </c>
      <c r="E267">
        <f t="shared" si="10"/>
        <v>1.1550696625000001</v>
      </c>
      <c r="F267">
        <v>1.7191685764889599</v>
      </c>
    </row>
    <row r="268" spans="1:6" x14ac:dyDescent="0.2">
      <c r="A268" s="15" t="s">
        <v>528</v>
      </c>
      <c r="B268" t="s">
        <v>529</v>
      </c>
      <c r="C268">
        <v>1.2043381</v>
      </c>
      <c r="D268">
        <f t="shared" si="9"/>
        <v>1.2043381</v>
      </c>
      <c r="E268">
        <f t="shared" si="10"/>
        <v>1.0736350000000001</v>
      </c>
      <c r="F268">
        <v>1.7003221850379131</v>
      </c>
    </row>
    <row r="269" spans="1:6" x14ac:dyDescent="0.2">
      <c r="A269" s="15" t="s">
        <v>530</v>
      </c>
      <c r="B269" t="s">
        <v>531</v>
      </c>
      <c r="C269">
        <v>1.0440872999999999</v>
      </c>
      <c r="D269">
        <f t="shared" si="9"/>
        <v>1.0440872999999999</v>
      </c>
      <c r="E269">
        <f t="shared" si="10"/>
        <v>1.0220345083333335</v>
      </c>
      <c r="F269">
        <v>1.6816563123101613</v>
      </c>
    </row>
    <row r="270" spans="1:6" x14ac:dyDescent="0.2">
      <c r="A270" s="15" t="s">
        <v>532</v>
      </c>
      <c r="B270" t="s">
        <v>533</v>
      </c>
      <c r="C270">
        <v>0.58276479999999997</v>
      </c>
      <c r="D270">
        <f t="shared" si="9"/>
        <v>0.58276479999999997</v>
      </c>
      <c r="E270">
        <f t="shared" si="10"/>
        <v>0.97549849583333337</v>
      </c>
      <c r="F270">
        <v>1.6632042335840507</v>
      </c>
    </row>
    <row r="271" spans="1:6" x14ac:dyDescent="0.2">
      <c r="A271" s="15" t="s">
        <v>534</v>
      </c>
      <c r="B271" t="s">
        <v>535</v>
      </c>
      <c r="C271">
        <v>0.7818773</v>
      </c>
      <c r="D271">
        <f t="shared" si="9"/>
        <v>0.7818773</v>
      </c>
      <c r="E271">
        <f t="shared" si="10"/>
        <v>0.95628484999999996</v>
      </c>
      <c r="F271">
        <v>1.644994304623943</v>
      </c>
    </row>
    <row r="272" spans="1:6" x14ac:dyDescent="0.2">
      <c r="A272" s="15" t="s">
        <v>536</v>
      </c>
      <c r="B272" t="s">
        <v>537</v>
      </c>
      <c r="C272">
        <v>1.1255447000000001</v>
      </c>
      <c r="D272">
        <f t="shared" si="9"/>
        <v>1.1255447000000001</v>
      </c>
      <c r="E272">
        <f t="shared" si="10"/>
        <v>0.94775666666666647</v>
      </c>
      <c r="F272">
        <v>1.6270465444701754</v>
      </c>
    </row>
    <row r="273" spans="1:6" x14ac:dyDescent="0.2">
      <c r="A273" s="15" t="s">
        <v>538</v>
      </c>
      <c r="B273" t="s">
        <v>539</v>
      </c>
      <c r="C273">
        <v>1.0059941999999999</v>
      </c>
      <c r="D273">
        <f t="shared" ref="D273:D336" si="11">C273</f>
        <v>1.0059941999999999</v>
      </c>
      <c r="E273">
        <f t="shared" si="10"/>
        <v>0.93180175833333312</v>
      </c>
      <c r="F273">
        <v>1.6093743123096542</v>
      </c>
    </row>
    <row r="274" spans="1:6" x14ac:dyDescent="0.2">
      <c r="A274" s="15" t="s">
        <v>540</v>
      </c>
      <c r="B274" t="s">
        <v>541</v>
      </c>
      <c r="C274">
        <v>0.84899460000000004</v>
      </c>
      <c r="D274">
        <f t="shared" si="11"/>
        <v>0.84899460000000004</v>
      </c>
      <c r="E274">
        <f t="shared" si="10"/>
        <v>0.92327068749999974</v>
      </c>
      <c r="F274">
        <v>1.5919870977162891</v>
      </c>
    </row>
    <row r="275" spans="1:6" x14ac:dyDescent="0.2">
      <c r="A275" s="15" t="s">
        <v>542</v>
      </c>
      <c r="B275" t="s">
        <v>543</v>
      </c>
      <c r="C275">
        <v>0.40803600000000001</v>
      </c>
      <c r="D275">
        <f t="shared" si="11"/>
        <v>0.40803600000000001</v>
      </c>
      <c r="E275">
        <f t="shared" si="10"/>
        <v>0.90263445416666654</v>
      </c>
      <c r="F275">
        <v>1.5748897345532462</v>
      </c>
    </row>
    <row r="276" spans="1:6" x14ac:dyDescent="0.2">
      <c r="A276" s="15" t="s">
        <v>544</v>
      </c>
      <c r="B276" t="s">
        <v>545</v>
      </c>
      <c r="C276">
        <v>-0.1813266</v>
      </c>
      <c r="D276">
        <f t="shared" si="11"/>
        <v>-0.1813266</v>
      </c>
      <c r="E276">
        <f t="shared" si="10"/>
        <v>0.90648221249999994</v>
      </c>
      <c r="F276">
        <v>1.5580813237168878</v>
      </c>
    </row>
    <row r="277" spans="1:6" x14ac:dyDescent="0.2">
      <c r="A277" s="15" t="s">
        <v>546</v>
      </c>
      <c r="B277" t="s">
        <v>547</v>
      </c>
      <c r="C277">
        <v>-0.19421820000000001</v>
      </c>
      <c r="D277">
        <f t="shared" si="11"/>
        <v>-0.19421820000000001</v>
      </c>
      <c r="E277">
        <f t="shared" si="10"/>
        <v>0.95950702499999985</v>
      </c>
      <c r="F277">
        <v>1.5415519626025378</v>
      </c>
    </row>
    <row r="278" spans="1:6" x14ac:dyDescent="0.2">
      <c r="A278" s="15" t="s">
        <v>548</v>
      </c>
      <c r="B278" t="s">
        <v>549</v>
      </c>
      <c r="C278">
        <v>4.6651199999999997E-2</v>
      </c>
      <c r="D278">
        <f t="shared" si="11"/>
        <v>4.6651199999999997E-2</v>
      </c>
      <c r="E278">
        <f t="shared" si="10"/>
        <v>1.0172247166666664</v>
      </c>
      <c r="F278">
        <v>1.5252783272480841</v>
      </c>
    </row>
    <row r="279" spans="1:6" x14ac:dyDescent="0.2">
      <c r="A279" s="15" t="s">
        <v>550</v>
      </c>
      <c r="B279" t="s">
        <v>551</v>
      </c>
      <c r="C279">
        <v>-0.1009326</v>
      </c>
      <c r="D279">
        <f t="shared" si="11"/>
        <v>-0.1009326</v>
      </c>
      <c r="E279">
        <f t="shared" si="10"/>
        <v>1.053867825</v>
      </c>
      <c r="F279">
        <v>1.509223700403123</v>
      </c>
    </row>
    <row r="280" spans="1:6" x14ac:dyDescent="0.2">
      <c r="A280" s="15" t="s">
        <v>552</v>
      </c>
      <c r="B280" t="s">
        <v>553</v>
      </c>
      <c r="C280">
        <v>0.39421810000000002</v>
      </c>
      <c r="D280">
        <f t="shared" si="11"/>
        <v>0.39421810000000002</v>
      </c>
      <c r="E280">
        <f t="shared" si="10"/>
        <v>1.1047133999999998</v>
      </c>
      <c r="F280">
        <v>1.4933399556573179</v>
      </c>
    </row>
    <row r="281" spans="1:6" x14ac:dyDescent="0.2">
      <c r="A281" s="15" t="s">
        <v>554</v>
      </c>
      <c r="B281" t="s">
        <v>555</v>
      </c>
      <c r="C281">
        <v>0.95792330000000003</v>
      </c>
      <c r="D281">
        <f t="shared" si="11"/>
        <v>0.95792330000000003</v>
      </c>
      <c r="E281">
        <f t="shared" si="10"/>
        <v>1.1550215791666665</v>
      </c>
      <c r="F281">
        <v>1.4775665425548044</v>
      </c>
    </row>
    <row r="282" spans="1:6" x14ac:dyDescent="0.2">
      <c r="A282" s="15" t="s">
        <v>556</v>
      </c>
      <c r="B282" t="s">
        <v>557</v>
      </c>
      <c r="C282">
        <v>1.3268070999999999</v>
      </c>
      <c r="D282">
        <f t="shared" si="11"/>
        <v>1.3268070999999999</v>
      </c>
      <c r="E282">
        <f t="shared" si="10"/>
        <v>1.2110495124999998</v>
      </c>
      <c r="F282">
        <v>1.4618344297612014</v>
      </c>
    </row>
    <row r="283" spans="1:6" x14ac:dyDescent="0.2">
      <c r="A283" s="15" t="s">
        <v>558</v>
      </c>
      <c r="B283" t="s">
        <v>559</v>
      </c>
      <c r="C283">
        <v>1.655735</v>
      </c>
      <c r="D283">
        <f t="shared" si="11"/>
        <v>1.655735</v>
      </c>
      <c r="E283">
        <f t="shared" si="10"/>
        <v>1.2861887208333331</v>
      </c>
      <c r="F283">
        <v>1.4460705763492074</v>
      </c>
    </row>
    <row r="284" spans="1:6" x14ac:dyDescent="0.2">
      <c r="A284" s="15" t="s">
        <v>560</v>
      </c>
      <c r="B284" t="s">
        <v>561</v>
      </c>
      <c r="C284">
        <v>1.2845614999999999</v>
      </c>
      <c r="D284">
        <f t="shared" si="11"/>
        <v>1.2845614999999999</v>
      </c>
      <c r="E284">
        <f t="shared" si="10"/>
        <v>1.3331946708333333</v>
      </c>
      <c r="F284">
        <v>1.4302008995139768</v>
      </c>
    </row>
    <row r="285" spans="1:6" x14ac:dyDescent="0.2">
      <c r="A285" s="15" t="s">
        <v>562</v>
      </c>
      <c r="B285" t="s">
        <v>563</v>
      </c>
      <c r="C285">
        <v>1.4696381000000001</v>
      </c>
      <c r="D285">
        <f t="shared" si="11"/>
        <v>1.4696381000000001</v>
      </c>
      <c r="E285">
        <f t="shared" ref="E285:E348" si="12">AVERAGE(C273:C296)</f>
        <v>1.3719168708333331</v>
      </c>
      <c r="F285">
        <v>1.4141529342317103</v>
      </c>
    </row>
    <row r="286" spans="1:6" x14ac:dyDescent="0.2">
      <c r="A286" s="15" t="s">
        <v>564</v>
      </c>
      <c r="B286" t="s">
        <v>565</v>
      </c>
      <c r="C286">
        <v>1.5014137999999999</v>
      </c>
      <c r="D286">
        <f t="shared" si="11"/>
        <v>1.5014137999999999</v>
      </c>
      <c r="E286">
        <f t="shared" si="12"/>
        <v>1.4039626666666667</v>
      </c>
      <c r="F286">
        <v>1.39785309171781</v>
      </c>
    </row>
    <row r="287" spans="1:6" x14ac:dyDescent="0.2">
      <c r="A287" s="15" t="s">
        <v>566</v>
      </c>
      <c r="B287" t="s">
        <v>567</v>
      </c>
      <c r="C287">
        <v>1.7968390000000001</v>
      </c>
      <c r="D287">
        <f t="shared" si="11"/>
        <v>1.7968390000000001</v>
      </c>
      <c r="E287">
        <f t="shared" si="12"/>
        <v>1.4417943375</v>
      </c>
      <c r="F287">
        <v>1.3812282113139569</v>
      </c>
    </row>
    <row r="288" spans="1:6" x14ac:dyDescent="0.2">
      <c r="A288" s="15" t="s">
        <v>568</v>
      </c>
      <c r="B288" t="s">
        <v>569</v>
      </c>
      <c r="C288">
        <v>2.3070925999999998</v>
      </c>
      <c r="D288">
        <f t="shared" si="11"/>
        <v>2.3070925999999998</v>
      </c>
      <c r="E288">
        <f t="shared" si="12"/>
        <v>1.4910746666666668</v>
      </c>
      <c r="F288">
        <v>1.364205931441371</v>
      </c>
    </row>
    <row r="289" spans="1:6" x14ac:dyDescent="0.2">
      <c r="A289" s="15" t="s">
        <v>570</v>
      </c>
      <c r="B289" t="s">
        <v>571</v>
      </c>
      <c r="C289">
        <v>2.4629837000000001</v>
      </c>
      <c r="D289">
        <f t="shared" si="11"/>
        <v>2.4629837000000001</v>
      </c>
      <c r="E289">
        <f t="shared" si="12"/>
        <v>1.5631826416666668</v>
      </c>
      <c r="F289">
        <v>1.3467170973946421</v>
      </c>
    </row>
    <row r="290" spans="1:6" x14ac:dyDescent="0.2">
      <c r="A290" s="15" t="s">
        <v>572</v>
      </c>
      <c r="B290" t="s">
        <v>573</v>
      </c>
      <c r="C290">
        <v>2.2711819000000002</v>
      </c>
      <c r="D290">
        <f t="shared" si="11"/>
        <v>2.2711819000000002</v>
      </c>
      <c r="E290">
        <f t="shared" si="12"/>
        <v>1.6249993500000002</v>
      </c>
      <c r="F290">
        <v>1.3286998298284567</v>
      </c>
    </row>
    <row r="291" spans="1:6" x14ac:dyDescent="0.2">
      <c r="A291" s="15" t="s">
        <v>574</v>
      </c>
      <c r="B291" t="s">
        <v>575</v>
      </c>
      <c r="C291">
        <v>2.5129166999999999</v>
      </c>
      <c r="D291">
        <f t="shared" si="11"/>
        <v>2.5129166999999999</v>
      </c>
      <c r="E291">
        <f t="shared" si="12"/>
        <v>1.6779207875</v>
      </c>
      <c r="F291">
        <v>1.310100862565732</v>
      </c>
    </row>
    <row r="292" spans="1:6" x14ac:dyDescent="0.2">
      <c r="A292" s="15" t="s">
        <v>576</v>
      </c>
      <c r="B292" t="s">
        <v>577</v>
      </c>
      <c r="C292">
        <v>2.4117343999999998</v>
      </c>
      <c r="D292">
        <f t="shared" si="11"/>
        <v>2.4117343999999998</v>
      </c>
      <c r="E292">
        <f t="shared" si="12"/>
        <v>1.7507294749999998</v>
      </c>
      <c r="F292">
        <v>1.2908742016675807</v>
      </c>
    </row>
    <row r="293" spans="1:6" x14ac:dyDescent="0.2">
      <c r="A293" s="15" t="s">
        <v>578</v>
      </c>
      <c r="B293" t="s">
        <v>579</v>
      </c>
      <c r="C293">
        <v>2.3887577000000002</v>
      </c>
      <c r="D293">
        <f t="shared" si="11"/>
        <v>2.3887577000000002</v>
      </c>
      <c r="E293">
        <f t="shared" si="12"/>
        <v>1.8120418458333332</v>
      </c>
      <c r="F293">
        <v>1.2709831341815157</v>
      </c>
    </row>
    <row r="294" spans="1:6" x14ac:dyDescent="0.2">
      <c r="A294" s="15" t="s">
        <v>580</v>
      </c>
      <c r="B294" t="s">
        <v>581</v>
      </c>
      <c r="C294">
        <v>2.3861058000000002</v>
      </c>
      <c r="D294">
        <f t="shared" si="11"/>
        <v>2.3861058000000002</v>
      </c>
      <c r="E294">
        <f t="shared" si="12"/>
        <v>1.8349983749999998</v>
      </c>
      <c r="F294">
        <v>1.2503995957676908</v>
      </c>
    </row>
    <row r="295" spans="1:6" x14ac:dyDescent="0.2">
      <c r="A295" s="15" t="s">
        <v>582</v>
      </c>
      <c r="B295" t="s">
        <v>583</v>
      </c>
      <c r="C295">
        <v>1.9100201000000001</v>
      </c>
      <c r="D295">
        <f t="shared" si="11"/>
        <v>1.9100201000000001</v>
      </c>
      <c r="E295">
        <f t="shared" si="12"/>
        <v>1.8234892791666664</v>
      </c>
      <c r="F295">
        <v>1.2291041468900092</v>
      </c>
    </row>
    <row r="296" spans="1:6" x14ac:dyDescent="0.2">
      <c r="A296" s="15" t="s">
        <v>584</v>
      </c>
      <c r="B296" t="s">
        <v>585</v>
      </c>
      <c r="C296">
        <v>2.0548774999999999</v>
      </c>
      <c r="D296">
        <f t="shared" si="11"/>
        <v>2.0548774999999999</v>
      </c>
      <c r="E296">
        <f t="shared" si="12"/>
        <v>1.7815759083333331</v>
      </c>
      <c r="F296">
        <v>1.20708611117753</v>
      </c>
    </row>
    <row r="297" spans="1:6" x14ac:dyDescent="0.2">
      <c r="A297" s="15" t="s">
        <v>586</v>
      </c>
      <c r="B297" t="s">
        <v>587</v>
      </c>
      <c r="C297">
        <v>1.7750933</v>
      </c>
      <c r="D297">
        <f t="shared" si="11"/>
        <v>1.7750933</v>
      </c>
      <c r="E297">
        <f t="shared" si="12"/>
        <v>1.758473875</v>
      </c>
      <c r="F297">
        <v>1.1843400662404311</v>
      </c>
    </row>
    <row r="298" spans="1:6" x14ac:dyDescent="0.2">
      <c r="A298" s="15" t="s">
        <v>588</v>
      </c>
      <c r="B298" t="s">
        <v>589</v>
      </c>
      <c r="C298">
        <v>1.7569547000000001</v>
      </c>
      <c r="D298">
        <f t="shared" si="11"/>
        <v>1.7569547000000001</v>
      </c>
      <c r="E298">
        <f t="shared" si="12"/>
        <v>1.7455495666666663</v>
      </c>
      <c r="F298">
        <v>1.1608671312891135</v>
      </c>
    </row>
    <row r="299" spans="1:6" x14ac:dyDescent="0.2">
      <c r="A299" s="15" t="s">
        <v>590</v>
      </c>
      <c r="B299" t="s">
        <v>591</v>
      </c>
      <c r="C299">
        <v>1.5907639</v>
      </c>
      <c r="D299">
        <f t="shared" si="11"/>
        <v>1.5907639</v>
      </c>
      <c r="E299">
        <f t="shared" si="12"/>
        <v>1.7258931833333333</v>
      </c>
      <c r="F299">
        <v>1.1366729838151022</v>
      </c>
    </row>
    <row r="300" spans="1:6" x14ac:dyDescent="0.2">
      <c r="A300" s="15" t="s">
        <v>592</v>
      </c>
      <c r="B300" t="s">
        <v>593</v>
      </c>
      <c r="C300">
        <v>1.5492648</v>
      </c>
      <c r="D300">
        <f t="shared" si="11"/>
        <v>1.5492648</v>
      </c>
      <c r="E300">
        <f t="shared" si="12"/>
        <v>1.6921776833333331</v>
      </c>
      <c r="F300">
        <v>1.1117679007510386</v>
      </c>
    </row>
    <row r="301" spans="1:6" x14ac:dyDescent="0.2">
      <c r="A301" s="15" t="s">
        <v>594</v>
      </c>
      <c r="B301" t="s">
        <v>595</v>
      </c>
      <c r="C301">
        <v>1.2893828000000001</v>
      </c>
      <c r="D301">
        <f t="shared" si="11"/>
        <v>1.2893828000000001</v>
      </c>
      <c r="E301">
        <f t="shared" si="12"/>
        <v>1.6493779124999997</v>
      </c>
      <c r="F301">
        <v>1.0861656628174983</v>
      </c>
    </row>
    <row r="302" spans="1:6" x14ac:dyDescent="0.2">
      <c r="A302" s="15" t="s">
        <v>596</v>
      </c>
      <c r="B302" t="s">
        <v>597</v>
      </c>
      <c r="C302">
        <v>1.3167656999999999</v>
      </c>
      <c r="D302">
        <f t="shared" si="11"/>
        <v>1.3167656999999999</v>
      </c>
      <c r="E302">
        <f t="shared" si="12"/>
        <v>1.5801869833333333</v>
      </c>
      <c r="F302">
        <v>1.0598834264827359</v>
      </c>
    </row>
    <row r="303" spans="1:6" x14ac:dyDescent="0.2">
      <c r="A303" s="15" t="s">
        <v>598</v>
      </c>
      <c r="B303" t="s">
        <v>599</v>
      </c>
      <c r="C303">
        <v>1.6464759</v>
      </c>
      <c r="D303">
        <f t="shared" si="11"/>
        <v>1.6464759</v>
      </c>
      <c r="E303">
        <f t="shared" si="12"/>
        <v>1.5294593708333337</v>
      </c>
      <c r="F303">
        <v>1.0329399162484723</v>
      </c>
    </row>
    <row r="304" spans="1:6" x14ac:dyDescent="0.2">
      <c r="A304" s="15" t="s">
        <v>600</v>
      </c>
      <c r="B304" t="s">
        <v>601</v>
      </c>
      <c r="C304">
        <v>1.865715</v>
      </c>
      <c r="D304">
        <f t="shared" si="11"/>
        <v>1.865715</v>
      </c>
      <c r="E304">
        <f t="shared" si="12"/>
        <v>1.4619123875</v>
      </c>
      <c r="F304">
        <v>1.0053558387327362</v>
      </c>
    </row>
    <row r="305" spans="1:6" x14ac:dyDescent="0.2">
      <c r="A305" s="15" t="s">
        <v>602</v>
      </c>
      <c r="B305" t="s">
        <v>603</v>
      </c>
      <c r="C305">
        <v>1.50888</v>
      </c>
      <c r="D305">
        <f t="shared" si="11"/>
        <v>1.50888</v>
      </c>
      <c r="E305">
        <f t="shared" si="12"/>
        <v>1.3953609791666668</v>
      </c>
      <c r="F305">
        <v>0.97715663462750479</v>
      </c>
    </row>
    <row r="306" spans="1:6" x14ac:dyDescent="0.2">
      <c r="A306" s="15" t="s">
        <v>604</v>
      </c>
      <c r="B306" t="s">
        <v>605</v>
      </c>
      <c r="C306">
        <v>1.0505888000000001</v>
      </c>
      <c r="D306">
        <f t="shared" si="11"/>
        <v>1.0505888000000001</v>
      </c>
      <c r="E306">
        <f t="shared" si="12"/>
        <v>1.3434057000000001</v>
      </c>
      <c r="F306">
        <v>0.94837438319853096</v>
      </c>
    </row>
    <row r="307" spans="1:6" x14ac:dyDescent="0.2">
      <c r="A307" s="15" t="s">
        <v>606</v>
      </c>
      <c r="B307" t="s">
        <v>607</v>
      </c>
      <c r="C307">
        <v>0.64981409999999995</v>
      </c>
      <c r="D307">
        <f t="shared" si="11"/>
        <v>0.64981409999999995</v>
      </c>
      <c r="E307">
        <f t="shared" si="12"/>
        <v>1.2827635958333334</v>
      </c>
      <c r="F307">
        <v>0.91904526651531238</v>
      </c>
    </row>
    <row r="308" spans="1:6" x14ac:dyDescent="0.2">
      <c r="A308" s="15" t="s">
        <v>608</v>
      </c>
      <c r="B308" t="s">
        <v>609</v>
      </c>
      <c r="C308">
        <v>0.73011269999999995</v>
      </c>
      <c r="D308">
        <f t="shared" si="11"/>
        <v>0.73011269999999995</v>
      </c>
      <c r="E308">
        <f t="shared" si="12"/>
        <v>1.2556857541666666</v>
      </c>
      <c r="F308">
        <v>0.88920625533883468</v>
      </c>
    </row>
    <row r="309" spans="1:6" x14ac:dyDescent="0.2">
      <c r="A309" s="15" t="s">
        <v>610</v>
      </c>
      <c r="B309" t="s">
        <v>611</v>
      </c>
      <c r="C309">
        <v>1.1594546999999999</v>
      </c>
      <c r="D309">
        <f t="shared" si="11"/>
        <v>1.1594546999999999</v>
      </c>
      <c r="E309">
        <f t="shared" si="12"/>
        <v>1.2147463333333333</v>
      </c>
      <c r="F309">
        <v>0.85889224302910727</v>
      </c>
    </row>
    <row r="310" spans="1:6" x14ac:dyDescent="0.2">
      <c r="A310" s="15" t="s">
        <v>612</v>
      </c>
      <c r="B310" t="s">
        <v>613</v>
      </c>
      <c r="C310">
        <v>1.0296605999999999</v>
      </c>
      <c r="D310">
        <f t="shared" si="11"/>
        <v>1.0296605999999999</v>
      </c>
      <c r="E310">
        <f t="shared" si="12"/>
        <v>1.1775748708333331</v>
      </c>
      <c r="F310">
        <v>0.82813689537241009</v>
      </c>
    </row>
    <row r="311" spans="1:6" x14ac:dyDescent="0.2">
      <c r="A311" s="15" t="s">
        <v>614</v>
      </c>
      <c r="B311" t="s">
        <v>615</v>
      </c>
      <c r="C311">
        <v>0.98766699999999996</v>
      </c>
      <c r="D311">
        <f t="shared" si="11"/>
        <v>0.98766699999999996</v>
      </c>
      <c r="E311">
        <f t="shared" si="12"/>
        <v>1.1219137666666665</v>
      </c>
      <c r="F311">
        <v>0.79697619730978331</v>
      </c>
    </row>
    <row r="312" spans="1:6" x14ac:dyDescent="0.2">
      <c r="A312" s="15" t="s">
        <v>616</v>
      </c>
      <c r="B312" t="s">
        <v>617</v>
      </c>
      <c r="C312">
        <v>1.2798981</v>
      </c>
      <c r="D312">
        <f t="shared" si="11"/>
        <v>1.2798981</v>
      </c>
      <c r="E312">
        <f t="shared" si="12"/>
        <v>1.0727632249999999</v>
      </c>
      <c r="F312">
        <v>0.76544768874912383</v>
      </c>
    </row>
    <row r="313" spans="1:6" x14ac:dyDescent="0.2">
      <c r="A313" s="15" t="s">
        <v>618</v>
      </c>
      <c r="B313" t="s">
        <v>619</v>
      </c>
      <c r="C313">
        <v>0.80240140000000004</v>
      </c>
      <c r="D313">
        <f t="shared" si="11"/>
        <v>0.80240140000000004</v>
      </c>
      <c r="E313">
        <f t="shared" si="12"/>
        <v>1.0220664625</v>
      </c>
      <c r="F313">
        <v>0.7335903809779788</v>
      </c>
    </row>
    <row r="314" spans="1:6" x14ac:dyDescent="0.2">
      <c r="A314" s="15" t="s">
        <v>620</v>
      </c>
      <c r="B314" t="s">
        <v>621</v>
      </c>
      <c r="C314">
        <v>1.0537192</v>
      </c>
      <c r="D314">
        <f t="shared" si="11"/>
        <v>1.0537192</v>
      </c>
      <c r="E314">
        <f t="shared" si="12"/>
        <v>0.97944292083333317</v>
      </c>
      <c r="F314">
        <v>0.70144725480867354</v>
      </c>
    </row>
    <row r="315" spans="1:6" x14ac:dyDescent="0.2">
      <c r="A315" s="15" t="s">
        <v>622</v>
      </c>
      <c r="B315" t="s">
        <v>623</v>
      </c>
      <c r="C315">
        <v>0.8917891</v>
      </c>
      <c r="D315">
        <f t="shared" si="11"/>
        <v>0.8917891</v>
      </c>
      <c r="E315">
        <f t="shared" si="12"/>
        <v>0.95065634166666679</v>
      </c>
      <c r="F315">
        <v>0.66906182200275421</v>
      </c>
    </row>
    <row r="316" spans="1:6" x14ac:dyDescent="0.2">
      <c r="A316" s="15" t="s">
        <v>624</v>
      </c>
      <c r="B316" t="s">
        <v>625</v>
      </c>
      <c r="C316">
        <v>0.81450060000000002</v>
      </c>
      <c r="D316">
        <f t="shared" si="11"/>
        <v>0.81450060000000002</v>
      </c>
      <c r="E316">
        <f t="shared" si="12"/>
        <v>0.88968690000000006</v>
      </c>
      <c r="F316">
        <v>0.6364803124694921</v>
      </c>
    </row>
    <row r="317" spans="1:6" x14ac:dyDescent="0.2">
      <c r="A317" s="15" t="s">
        <v>626</v>
      </c>
      <c r="B317" t="s">
        <v>627</v>
      </c>
      <c r="C317">
        <v>1.141831</v>
      </c>
      <c r="D317">
        <f t="shared" si="11"/>
        <v>1.141831</v>
      </c>
      <c r="E317">
        <f t="shared" si="12"/>
        <v>0.79558990000000007</v>
      </c>
      <c r="F317">
        <v>0.6037506746928345</v>
      </c>
    </row>
    <row r="318" spans="1:6" x14ac:dyDescent="0.2">
      <c r="A318" s="15" t="s">
        <v>628</v>
      </c>
      <c r="B318" t="s">
        <v>629</v>
      </c>
      <c r="C318">
        <v>0.9306953</v>
      </c>
      <c r="D318">
        <f t="shared" si="11"/>
        <v>0.9306953</v>
      </c>
      <c r="E318">
        <f t="shared" si="12"/>
        <v>0.7092674541666667</v>
      </c>
      <c r="F318">
        <v>0.57092223077005821</v>
      </c>
    </row>
    <row r="319" spans="1:6" x14ac:dyDescent="0.2">
      <c r="A319" s="15" t="s">
        <v>630</v>
      </c>
      <c r="B319" t="s">
        <v>631</v>
      </c>
      <c r="C319">
        <v>1.2601519000000001</v>
      </c>
      <c r="D319">
        <f t="shared" si="11"/>
        <v>1.2601519000000001</v>
      </c>
      <c r="E319">
        <f t="shared" si="12"/>
        <v>0.66354028333333337</v>
      </c>
      <c r="F319">
        <v>0.53804845465280193</v>
      </c>
    </row>
    <row r="320" spans="1:6" x14ac:dyDescent="0.2">
      <c r="A320" s="15" t="s">
        <v>632</v>
      </c>
      <c r="B320" t="s">
        <v>633</v>
      </c>
      <c r="C320">
        <v>1.0723313999999999</v>
      </c>
      <c r="D320">
        <f t="shared" si="11"/>
        <v>1.0723313999999999</v>
      </c>
      <c r="E320">
        <f t="shared" si="12"/>
        <v>0.60990532083333326</v>
      </c>
      <c r="F320">
        <v>0.50518559631947335</v>
      </c>
    </row>
    <row r="321" spans="1:6" x14ac:dyDescent="0.2">
      <c r="A321" s="15" t="s">
        <v>634</v>
      </c>
      <c r="B321" t="s">
        <v>635</v>
      </c>
      <c r="C321">
        <v>0.88297820000000005</v>
      </c>
      <c r="D321">
        <f t="shared" si="11"/>
        <v>0.88297820000000005</v>
      </c>
      <c r="E321">
        <f t="shared" si="12"/>
        <v>0.5699994416666665</v>
      </c>
      <c r="F321">
        <v>0.47239547753432393</v>
      </c>
    </row>
    <row r="322" spans="1:6" x14ac:dyDescent="0.2">
      <c r="A322" s="15" t="s">
        <v>636</v>
      </c>
      <c r="B322" t="s">
        <v>637</v>
      </c>
      <c r="C322">
        <v>0.42108820000000002</v>
      </c>
      <c r="D322">
        <f t="shared" si="11"/>
        <v>0.42108820000000002</v>
      </c>
      <c r="E322">
        <f t="shared" si="12"/>
        <v>0.51219342499999987</v>
      </c>
      <c r="F322">
        <v>0.43974429618663369</v>
      </c>
    </row>
    <row r="323" spans="1:6" x14ac:dyDescent="0.2">
      <c r="A323" s="15" t="s">
        <v>638</v>
      </c>
      <c r="B323" t="s">
        <v>639</v>
      </c>
      <c r="C323">
        <v>0.41115089999999999</v>
      </c>
      <c r="D323">
        <f t="shared" si="11"/>
        <v>0.41115089999999999</v>
      </c>
      <c r="E323">
        <f t="shared" si="12"/>
        <v>0.46539382083333308</v>
      </c>
      <c r="F323">
        <v>0.40730141824224497</v>
      </c>
    </row>
    <row r="324" spans="1:6" x14ac:dyDescent="0.2">
      <c r="A324" s="15" t="s">
        <v>640</v>
      </c>
      <c r="B324" t="s">
        <v>641</v>
      </c>
      <c r="C324">
        <v>0.33254250000000002</v>
      </c>
      <c r="D324">
        <f t="shared" si="11"/>
        <v>0.33254250000000002</v>
      </c>
      <c r="E324">
        <f t="shared" si="12"/>
        <v>0.40526318333333317</v>
      </c>
      <c r="F324">
        <v>0.37513606571564068</v>
      </c>
    </row>
    <row r="325" spans="1:6" x14ac:dyDescent="0.2">
      <c r="A325" s="15" t="s">
        <v>642</v>
      </c>
      <c r="B325" t="s">
        <v>643</v>
      </c>
      <c r="C325">
        <v>0.26641779999999998</v>
      </c>
      <c r="D325">
        <f t="shared" si="11"/>
        <v>0.26641779999999998</v>
      </c>
      <c r="E325">
        <f t="shared" si="12"/>
        <v>0.33176414166666662</v>
      </c>
      <c r="F325">
        <v>0.34331749032409514</v>
      </c>
    </row>
    <row r="326" spans="1:6" x14ac:dyDescent="0.2">
      <c r="A326" s="15" t="s">
        <v>644</v>
      </c>
      <c r="B326" t="s">
        <v>645</v>
      </c>
      <c r="C326">
        <v>0.62588779999999999</v>
      </c>
      <c r="D326">
        <f t="shared" si="11"/>
        <v>0.62588779999999999</v>
      </c>
      <c r="E326">
        <f t="shared" si="12"/>
        <v>0.28788925833333329</v>
      </c>
      <c r="F326">
        <v>0.31191461513082613</v>
      </c>
    </row>
    <row r="327" spans="1:6" x14ac:dyDescent="0.2">
      <c r="A327" s="15" t="s">
        <v>646</v>
      </c>
      <c r="B327" t="s">
        <v>647</v>
      </c>
      <c r="C327">
        <v>0.18320929999999999</v>
      </c>
      <c r="D327">
        <f t="shared" si="11"/>
        <v>0.18320929999999999</v>
      </c>
      <c r="E327">
        <f t="shared" si="12"/>
        <v>0.22101477499999989</v>
      </c>
      <c r="F327">
        <v>0.28099576983724345</v>
      </c>
    </row>
    <row r="328" spans="1:6" x14ac:dyDescent="0.2">
      <c r="A328" s="15" t="s">
        <v>648</v>
      </c>
      <c r="B328" t="s">
        <v>649</v>
      </c>
      <c r="C328">
        <v>-0.39261299999999999</v>
      </c>
      <c r="D328">
        <f t="shared" si="11"/>
        <v>-0.39261299999999999</v>
      </c>
      <c r="E328">
        <f t="shared" si="12"/>
        <v>0.16631632499999993</v>
      </c>
      <c r="F328">
        <v>0.25063170677735619</v>
      </c>
    </row>
    <row r="329" spans="1:6" x14ac:dyDescent="0.2">
      <c r="A329" s="15" t="s">
        <v>650</v>
      </c>
      <c r="B329" t="s">
        <v>651</v>
      </c>
      <c r="C329">
        <v>-0.56285870000000005</v>
      </c>
      <c r="D329">
        <f t="shared" si="11"/>
        <v>-0.56285870000000005</v>
      </c>
      <c r="E329">
        <f t="shared" si="12"/>
        <v>0.12116753749999991</v>
      </c>
      <c r="F329">
        <v>0.22089242375994331</v>
      </c>
    </row>
    <row r="330" spans="1:6" x14ac:dyDescent="0.2">
      <c r="A330" s="15" t="s">
        <v>652</v>
      </c>
      <c r="B330" t="s">
        <v>653</v>
      </c>
      <c r="C330">
        <v>-4.6863299999999997E-2</v>
      </c>
      <c r="D330">
        <f t="shared" si="11"/>
        <v>-4.6863299999999997E-2</v>
      </c>
      <c r="E330">
        <f t="shared" si="12"/>
        <v>8.0660554166666537E-2</v>
      </c>
      <c r="F330">
        <v>0.19184295528586101</v>
      </c>
    </row>
    <row r="331" spans="1:6" x14ac:dyDescent="0.2">
      <c r="A331" s="15" t="s">
        <v>654</v>
      </c>
      <c r="B331" t="s">
        <v>655</v>
      </c>
      <c r="C331">
        <v>-0.63742500000000002</v>
      </c>
      <c r="D331">
        <f t="shared" si="11"/>
        <v>-0.63742500000000002</v>
      </c>
      <c r="E331">
        <f t="shared" si="12"/>
        <v>3.223148749999994E-2</v>
      </c>
      <c r="F331">
        <v>0.16354228839359081</v>
      </c>
    </row>
    <row r="332" spans="1:6" x14ac:dyDescent="0.2">
      <c r="A332" s="15" t="s">
        <v>656</v>
      </c>
      <c r="B332" t="s">
        <v>657</v>
      </c>
      <c r="C332">
        <v>-0.22762840000000001</v>
      </c>
      <c r="D332">
        <f t="shared" si="11"/>
        <v>-0.22762840000000001</v>
      </c>
      <c r="E332">
        <f t="shared" si="12"/>
        <v>-2.3377683333333316E-2</v>
      </c>
      <c r="F332">
        <v>0.1360475682523605</v>
      </c>
    </row>
    <row r="333" spans="1:6" x14ac:dyDescent="0.2">
      <c r="A333" s="15" t="s">
        <v>658</v>
      </c>
      <c r="B333" t="s">
        <v>659</v>
      </c>
      <c r="C333">
        <v>-0.2278897</v>
      </c>
      <c r="D333">
        <f t="shared" si="11"/>
        <v>-0.2278897</v>
      </c>
      <c r="E333">
        <f t="shared" si="12"/>
        <v>-9.9882516666666643E-2</v>
      </c>
      <c r="F333">
        <v>0.10940975972824672</v>
      </c>
    </row>
    <row r="334" spans="1:6" x14ac:dyDescent="0.2">
      <c r="A334" s="15" t="s">
        <v>660</v>
      </c>
      <c r="B334" t="s">
        <v>661</v>
      </c>
      <c r="C334">
        <v>-9.3529899999999999E-2</v>
      </c>
      <c r="D334">
        <f t="shared" si="11"/>
        <v>-9.3529899999999999E-2</v>
      </c>
      <c r="E334">
        <f t="shared" si="12"/>
        <v>-0.16636783333333335</v>
      </c>
      <c r="F334">
        <v>8.3677021545595712E-2</v>
      </c>
    </row>
    <row r="335" spans="1:6" x14ac:dyDescent="0.2">
      <c r="A335" s="15" t="s">
        <v>662</v>
      </c>
      <c r="B335" t="s">
        <v>663</v>
      </c>
      <c r="C335">
        <v>-0.45546829999999999</v>
      </c>
      <c r="D335">
        <f t="shared" si="11"/>
        <v>-0.45546829999999999</v>
      </c>
      <c r="E335">
        <f t="shared" si="12"/>
        <v>-0.22575137916666668</v>
      </c>
      <c r="F335">
        <v>5.8894909809465733E-2</v>
      </c>
    </row>
    <row r="336" spans="1:6" x14ac:dyDescent="0.2">
      <c r="A336" s="15" t="s">
        <v>664</v>
      </c>
      <c r="B336" t="s">
        <v>665</v>
      </c>
      <c r="C336">
        <v>-0.48407889999999998</v>
      </c>
      <c r="D336">
        <f t="shared" si="11"/>
        <v>-0.48407889999999998</v>
      </c>
      <c r="E336">
        <f t="shared" si="12"/>
        <v>-0.27347481666666668</v>
      </c>
      <c r="F336">
        <v>3.5107613287557439E-2</v>
      </c>
    </row>
    <row r="337" spans="1:6" x14ac:dyDescent="0.2">
      <c r="A337" s="15" t="s">
        <v>666</v>
      </c>
      <c r="B337" t="s">
        <v>667</v>
      </c>
      <c r="C337">
        <v>-0.25059579999999998</v>
      </c>
      <c r="D337">
        <f t="shared" ref="D337:D374" si="13">C337</f>
        <v>-0.25059579999999998</v>
      </c>
      <c r="E337">
        <f t="shared" si="12"/>
        <v>-0.31986569166666667</v>
      </c>
      <c r="F337">
        <v>1.2355351895643945E-2</v>
      </c>
    </row>
    <row r="338" spans="1:6" x14ac:dyDescent="0.2">
      <c r="A338" s="15" t="s">
        <v>668</v>
      </c>
      <c r="B338" t="s">
        <v>669</v>
      </c>
      <c r="C338">
        <v>-0.55126839999999999</v>
      </c>
      <c r="D338">
        <f t="shared" si="13"/>
        <v>-0.55126839999999999</v>
      </c>
      <c r="E338">
        <f t="shared" si="12"/>
        <v>-0.36205000416666661</v>
      </c>
      <c r="F338">
        <v>-9.3256605192769959E-3</v>
      </c>
    </row>
    <row r="339" spans="1:6" x14ac:dyDescent="0.2">
      <c r="A339" s="15" t="s">
        <v>670</v>
      </c>
      <c r="B339" t="s">
        <v>671</v>
      </c>
      <c r="C339">
        <v>-0.42097370000000001</v>
      </c>
      <c r="D339">
        <f t="shared" si="13"/>
        <v>-0.42097370000000001</v>
      </c>
      <c r="E339">
        <f t="shared" si="12"/>
        <v>-0.40874618333333329</v>
      </c>
      <c r="F339">
        <v>-2.9901239054280888E-2</v>
      </c>
    </row>
    <row r="340" spans="1:6" x14ac:dyDescent="0.2">
      <c r="A340" s="15" t="s">
        <v>672</v>
      </c>
      <c r="B340" t="s">
        <v>673</v>
      </c>
      <c r="C340">
        <v>-0.26907029999999998</v>
      </c>
      <c r="D340">
        <f t="shared" si="13"/>
        <v>-0.26907029999999998</v>
      </c>
      <c r="E340">
        <f t="shared" si="12"/>
        <v>-0.42843994999999996</v>
      </c>
      <c r="F340">
        <v>-4.9341380463383676E-2</v>
      </c>
    </row>
    <row r="341" spans="1:6" x14ac:dyDescent="0.2">
      <c r="A341" s="15" t="s">
        <v>674</v>
      </c>
      <c r="B341" t="s">
        <v>675</v>
      </c>
      <c r="C341">
        <v>0.16966339999999999</v>
      </c>
      <c r="D341">
        <f t="shared" si="13"/>
        <v>0.16966339999999999</v>
      </c>
      <c r="E341">
        <f t="shared" si="12"/>
        <v>-0.4203135458333333</v>
      </c>
      <c r="F341">
        <v>-6.7619099035022182E-2</v>
      </c>
    </row>
    <row r="342" spans="1:6" x14ac:dyDescent="0.2">
      <c r="A342" s="15" t="s">
        <v>676</v>
      </c>
      <c r="B342" t="s">
        <v>677</v>
      </c>
      <c r="C342">
        <v>-0.23160230000000001</v>
      </c>
      <c r="D342">
        <f t="shared" si="13"/>
        <v>-0.23160230000000001</v>
      </c>
      <c r="E342">
        <f t="shared" si="12"/>
        <v>-0.41269447083333327</v>
      </c>
      <c r="F342">
        <v>-8.4709104496827184E-2</v>
      </c>
    </row>
    <row r="343" spans="1:6" x14ac:dyDescent="0.2">
      <c r="A343" s="15" t="s">
        <v>678</v>
      </c>
      <c r="B343" t="s">
        <v>679</v>
      </c>
      <c r="C343">
        <v>-7.4468199999999998E-2</v>
      </c>
      <c r="D343">
        <f t="shared" si="13"/>
        <v>-7.4468199999999998E-2</v>
      </c>
      <c r="E343">
        <f t="shared" si="12"/>
        <v>-0.42774297083333329</v>
      </c>
      <c r="F343">
        <v>-0.10058427569294925</v>
      </c>
    </row>
    <row r="344" spans="1:6" x14ac:dyDescent="0.2">
      <c r="A344" s="15" t="s">
        <v>680</v>
      </c>
      <c r="B344" t="s">
        <v>681</v>
      </c>
      <c r="C344">
        <v>-0.76378460000000004</v>
      </c>
      <c r="D344">
        <f t="shared" si="13"/>
        <v>-0.76378460000000004</v>
      </c>
      <c r="E344">
        <f t="shared" si="12"/>
        <v>-0.43234866249999993</v>
      </c>
      <c r="F344">
        <v>-0.11521862490268947</v>
      </c>
    </row>
    <row r="345" spans="1:6" x14ac:dyDescent="0.2">
      <c r="A345" s="15" t="s">
        <v>682</v>
      </c>
      <c r="B345" t="s">
        <v>683</v>
      </c>
      <c r="C345">
        <v>-0.71266940000000001</v>
      </c>
      <c r="D345">
        <f t="shared" si="13"/>
        <v>-0.71266940000000001</v>
      </c>
      <c r="E345">
        <f t="shared" si="12"/>
        <v>-0.43655230416666657</v>
      </c>
      <c r="F345">
        <v>-0.12858596289241916</v>
      </c>
    </row>
    <row r="346" spans="1:6" x14ac:dyDescent="0.2">
      <c r="A346" s="15" t="s">
        <v>684</v>
      </c>
      <c r="B346" t="s">
        <v>685</v>
      </c>
      <c r="C346">
        <v>-1.0041169000000001</v>
      </c>
      <c r="D346">
        <f t="shared" si="13"/>
        <v>-1.0041169000000001</v>
      </c>
      <c r="E346">
        <f t="shared" si="12"/>
        <v>-0.45730791250000008</v>
      </c>
      <c r="F346">
        <v>-0.14066510479560149</v>
      </c>
    </row>
    <row r="347" spans="1:6" x14ac:dyDescent="0.2">
      <c r="A347" s="15" t="s">
        <v>686</v>
      </c>
      <c r="B347" t="s">
        <v>687</v>
      </c>
      <c r="C347">
        <v>-0.73421159999999996</v>
      </c>
      <c r="D347">
        <f t="shared" si="13"/>
        <v>-0.73421159999999996</v>
      </c>
      <c r="E347">
        <f t="shared" si="12"/>
        <v>-0.48017805000000008</v>
      </c>
      <c r="F347">
        <v>-0.15143937256234394</v>
      </c>
    </row>
    <row r="348" spans="1:6" x14ac:dyDescent="0.2">
      <c r="A348" s="15" t="s">
        <v>688</v>
      </c>
      <c r="B348" t="s">
        <v>689</v>
      </c>
      <c r="C348">
        <v>-0.78083849999999999</v>
      </c>
      <c r="D348">
        <f t="shared" si="13"/>
        <v>-0.78083849999999999</v>
      </c>
      <c r="E348">
        <f t="shared" si="12"/>
        <v>-0.49872090000000008</v>
      </c>
      <c r="F348">
        <v>-0.16089875057944542</v>
      </c>
    </row>
    <row r="349" spans="1:6" x14ac:dyDescent="0.2">
      <c r="A349" s="15" t="s">
        <v>690</v>
      </c>
      <c r="B349" t="s">
        <v>691</v>
      </c>
      <c r="C349">
        <v>-0.74600569999999999</v>
      </c>
      <c r="D349">
        <f t="shared" si="13"/>
        <v>-0.74600569999999999</v>
      </c>
      <c r="E349">
        <f t="shared" ref="E349:E412" si="14">AVERAGE(C337:C360)</f>
        <v>-0.50990415833333336</v>
      </c>
      <c r="F349">
        <v>-0.16903771993299058</v>
      </c>
    </row>
    <row r="350" spans="1:6" x14ac:dyDescent="0.2">
      <c r="A350" s="15" t="s">
        <v>692</v>
      </c>
      <c r="B350" t="s">
        <v>693</v>
      </c>
      <c r="C350">
        <v>-0.4948205</v>
      </c>
      <c r="D350">
        <f t="shared" si="13"/>
        <v>-0.4948205</v>
      </c>
      <c r="E350">
        <f t="shared" si="14"/>
        <v>-0.52314734166666665</v>
      </c>
      <c r="F350">
        <v>-0.17585554519478494</v>
      </c>
    </row>
    <row r="351" spans="1:6" x14ac:dyDescent="0.2">
      <c r="A351" s="15" t="s">
        <v>694</v>
      </c>
      <c r="B351" t="s">
        <v>695</v>
      </c>
      <c r="C351">
        <v>-0.28944110000000001</v>
      </c>
      <c r="D351">
        <f t="shared" si="13"/>
        <v>-0.28944110000000001</v>
      </c>
      <c r="E351">
        <f t="shared" si="14"/>
        <v>-0.52929167499999996</v>
      </c>
      <c r="F351">
        <v>-0.1813559428500604</v>
      </c>
    </row>
    <row r="352" spans="1:6" x14ac:dyDescent="0.2">
      <c r="A352" s="15" t="s">
        <v>696</v>
      </c>
      <c r="B352" t="s">
        <v>697</v>
      </c>
      <c r="C352">
        <v>-0.19757930000000001</v>
      </c>
      <c r="D352">
        <f t="shared" si="13"/>
        <v>-0.19757930000000001</v>
      </c>
      <c r="E352">
        <f t="shared" si="14"/>
        <v>-0.55066625000000002</v>
      </c>
      <c r="F352">
        <v>-0.18554509053339152</v>
      </c>
    </row>
    <row r="353" spans="1:6" x14ac:dyDescent="0.2">
      <c r="A353" s="15" t="s">
        <v>698</v>
      </c>
      <c r="B353" t="s">
        <v>699</v>
      </c>
      <c r="C353">
        <v>-0.38000089999999997</v>
      </c>
      <c r="D353">
        <f t="shared" si="13"/>
        <v>-0.38000089999999997</v>
      </c>
      <c r="E353">
        <f t="shared" si="14"/>
        <v>-0.58462717500000005</v>
      </c>
      <c r="F353">
        <v>-0.18842999986976289</v>
      </c>
    </row>
    <row r="354" spans="1:6" x14ac:dyDescent="0.2">
      <c r="A354" s="15" t="s">
        <v>700</v>
      </c>
      <c r="B354" t="s">
        <v>701</v>
      </c>
      <c r="C354">
        <v>-0.40802729999999998</v>
      </c>
      <c r="D354">
        <f t="shared" si="13"/>
        <v>-0.40802729999999998</v>
      </c>
      <c r="E354">
        <f t="shared" si="14"/>
        <v>-0.63618553749999995</v>
      </c>
      <c r="F354">
        <v>-0.1900177753407136</v>
      </c>
    </row>
    <row r="355" spans="1:6" x14ac:dyDescent="0.2">
      <c r="A355" s="15" t="s">
        <v>702</v>
      </c>
      <c r="B355" t="s">
        <v>703</v>
      </c>
      <c r="C355">
        <v>-0.7479616</v>
      </c>
      <c r="D355">
        <f t="shared" si="13"/>
        <v>-0.7479616</v>
      </c>
      <c r="E355">
        <f t="shared" si="14"/>
        <v>-0.64017567916666662</v>
      </c>
      <c r="F355">
        <v>-0.19031699959830847</v>
      </c>
    </row>
    <row r="356" spans="1:6" x14ac:dyDescent="0.2">
      <c r="A356" s="15" t="s">
        <v>704</v>
      </c>
      <c r="B356" t="s">
        <v>705</v>
      </c>
      <c r="C356">
        <v>-0.32851580000000002</v>
      </c>
      <c r="D356">
        <f t="shared" si="13"/>
        <v>-0.32851580000000002</v>
      </c>
      <c r="E356">
        <f t="shared" si="14"/>
        <v>-0.62649883333333323</v>
      </c>
      <c r="F356">
        <v>-0.18933793746687055</v>
      </c>
    </row>
    <row r="357" spans="1:6" x14ac:dyDescent="0.2">
      <c r="A357" s="15" t="s">
        <v>706</v>
      </c>
      <c r="B357" t="s">
        <v>707</v>
      </c>
      <c r="C357">
        <v>-0.72602429999999996</v>
      </c>
      <c r="D357">
        <f t="shared" si="13"/>
        <v>-0.72602429999999996</v>
      </c>
      <c r="E357">
        <f t="shared" si="14"/>
        <v>-0.57887715416666652</v>
      </c>
      <c r="F357">
        <v>-0.18709515658399753</v>
      </c>
    </row>
    <row r="358" spans="1:6" x14ac:dyDescent="0.2">
      <c r="A358" s="15" t="s">
        <v>708</v>
      </c>
      <c r="B358" t="s">
        <v>709</v>
      </c>
      <c r="C358">
        <v>-0.64241320000000002</v>
      </c>
      <c r="D358">
        <f t="shared" si="13"/>
        <v>-0.64241320000000002</v>
      </c>
      <c r="E358">
        <f t="shared" si="14"/>
        <v>-0.54703845833333331</v>
      </c>
      <c r="F358">
        <v>-0.18360429849054741</v>
      </c>
    </row>
    <row r="359" spans="1:6" x14ac:dyDescent="0.2">
      <c r="A359" s="15" t="s">
        <v>710</v>
      </c>
      <c r="B359" t="s">
        <v>711</v>
      </c>
      <c r="C359">
        <v>-0.90049670000000004</v>
      </c>
      <c r="D359">
        <f t="shared" si="13"/>
        <v>-0.90049670000000004</v>
      </c>
      <c r="E359">
        <f t="shared" si="14"/>
        <v>-0.51266336666666656</v>
      </c>
      <c r="F359">
        <v>-0.17888516313126257</v>
      </c>
    </row>
    <row r="360" spans="1:6" x14ac:dyDescent="0.2">
      <c r="A360" s="15" t="s">
        <v>712</v>
      </c>
      <c r="B360" t="s">
        <v>713</v>
      </c>
      <c r="C360">
        <v>-0.75247710000000001</v>
      </c>
      <c r="D360">
        <f t="shared" si="13"/>
        <v>-0.75247710000000001</v>
      </c>
      <c r="E360">
        <f t="shared" si="14"/>
        <v>-0.46706821666666659</v>
      </c>
      <c r="F360">
        <v>-0.17296109064302662</v>
      </c>
    </row>
    <row r="361" spans="1:6" x14ac:dyDescent="0.2">
      <c r="A361" s="15" t="s">
        <v>714</v>
      </c>
      <c r="B361" t="s">
        <v>715</v>
      </c>
      <c r="C361">
        <v>-0.56843220000000005</v>
      </c>
      <c r="D361">
        <f t="shared" si="13"/>
        <v>-0.56843220000000005</v>
      </c>
      <c r="E361">
        <f t="shared" si="14"/>
        <v>-0.41688895833333323</v>
      </c>
      <c r="F361">
        <v>-0.16586098915297678</v>
      </c>
    </row>
    <row r="362" spans="1:6" x14ac:dyDescent="0.2">
      <c r="A362" s="15" t="s">
        <v>716</v>
      </c>
      <c r="B362" t="s">
        <v>717</v>
      </c>
      <c r="C362">
        <v>-0.69873240000000003</v>
      </c>
      <c r="D362">
        <f t="shared" si="13"/>
        <v>-0.69873240000000003</v>
      </c>
      <c r="E362">
        <f t="shared" si="14"/>
        <v>-0.37329036249999997</v>
      </c>
      <c r="F362">
        <v>-0.15761823836239655</v>
      </c>
    </row>
    <row r="363" spans="1:6" x14ac:dyDescent="0.2">
      <c r="A363" s="15" t="s">
        <v>718</v>
      </c>
      <c r="B363" t="s">
        <v>719</v>
      </c>
      <c r="C363">
        <v>-0.93396349999999995</v>
      </c>
      <c r="D363">
        <f t="shared" si="13"/>
        <v>-0.93396349999999995</v>
      </c>
      <c r="E363">
        <f t="shared" si="14"/>
        <v>-0.34246627083333325</v>
      </c>
      <c r="F363">
        <v>-0.14826932423191233</v>
      </c>
    </row>
    <row r="364" spans="1:6" x14ac:dyDescent="0.2">
      <c r="A364" s="15" t="s">
        <v>720</v>
      </c>
      <c r="B364" t="s">
        <v>721</v>
      </c>
      <c r="C364">
        <v>-1.0841324999999999</v>
      </c>
      <c r="D364">
        <f t="shared" si="13"/>
        <v>-1.0841324999999999</v>
      </c>
      <c r="E364">
        <f t="shared" si="14"/>
        <v>-0.3217346333333333</v>
      </c>
      <c r="F364">
        <v>-0.13785490798574343</v>
      </c>
    </row>
    <row r="365" spans="1:6" x14ac:dyDescent="0.2">
      <c r="A365" s="15" t="s">
        <v>722</v>
      </c>
      <c r="B365" t="s">
        <v>723</v>
      </c>
      <c r="C365">
        <v>-1.0677372999999999</v>
      </c>
      <c r="D365">
        <f t="shared" si="13"/>
        <v>-1.0677372999999999</v>
      </c>
      <c r="E365">
        <f t="shared" si="14"/>
        <v>-0.3536586958333332</v>
      </c>
      <c r="F365">
        <v>-0.12642171330316909</v>
      </c>
    </row>
    <row r="366" spans="1:6" x14ac:dyDescent="0.2">
      <c r="A366" s="15" t="s">
        <v>724</v>
      </c>
      <c r="B366" t="s">
        <v>725</v>
      </c>
      <c r="C366">
        <v>-0.32736569999999998</v>
      </c>
      <c r="D366">
        <f t="shared" si="13"/>
        <v>-0.32736569999999998</v>
      </c>
      <c r="E366">
        <f t="shared" si="14"/>
        <v>-0.37269159999999996</v>
      </c>
      <c r="F366">
        <v>-0.1140237653880983</v>
      </c>
    </row>
    <row r="367" spans="1:6" x14ac:dyDescent="0.2">
      <c r="A367" s="15" t="s">
        <v>726</v>
      </c>
      <c r="B367" t="s">
        <v>727</v>
      </c>
      <c r="C367">
        <v>0.2537761</v>
      </c>
      <c r="D367">
        <f t="shared" si="13"/>
        <v>0.2537761</v>
      </c>
      <c r="E367">
        <f t="shared" si="14"/>
        <v>-0.40369645416666655</v>
      </c>
      <c r="F367">
        <v>-0.10072235268199173</v>
      </c>
    </row>
    <row r="368" spans="1:6" x14ac:dyDescent="0.2">
      <c r="A368" s="15" t="s">
        <v>728</v>
      </c>
      <c r="B368" t="s">
        <v>729</v>
      </c>
      <c r="C368">
        <v>0.37913570000000002</v>
      </c>
      <c r="D368">
        <f t="shared" si="13"/>
        <v>0.37913570000000002</v>
      </c>
      <c r="E368">
        <f t="shared" si="14"/>
        <v>-0.43065975416666663</v>
      </c>
      <c r="F368">
        <v>-8.6580409783212922E-2</v>
      </c>
    </row>
    <row r="369" spans="1:6" x14ac:dyDescent="0.2">
      <c r="A369" s="15" t="s">
        <v>730</v>
      </c>
      <c r="B369" t="s">
        <v>731</v>
      </c>
      <c r="C369">
        <v>5.1459299999999999E-2</v>
      </c>
      <c r="D369">
        <f t="shared" si="13"/>
        <v>5.1459299999999999E-2</v>
      </c>
      <c r="E369">
        <f t="shared" si="14"/>
        <v>-0.48459030416666665</v>
      </c>
      <c r="F369">
        <v>-7.1658135962558434E-2</v>
      </c>
    </row>
    <row r="370" spans="1:6" x14ac:dyDescent="0.2">
      <c r="A370" s="15" t="s">
        <v>732</v>
      </c>
      <c r="B370" t="s">
        <v>733</v>
      </c>
      <c r="C370">
        <v>-0.17911469999999999</v>
      </c>
      <c r="D370">
        <f t="shared" si="13"/>
        <v>-0.17911469999999999</v>
      </c>
      <c r="E370">
        <f t="shared" si="14"/>
        <v>-0.52084040416666666</v>
      </c>
      <c r="F370">
        <v>-5.6012137002323423E-2</v>
      </c>
    </row>
    <row r="371" spans="1:6" x14ac:dyDescent="0.2">
      <c r="A371" s="15" t="s">
        <v>734</v>
      </c>
      <c r="B371" t="s">
        <v>735</v>
      </c>
      <c r="C371">
        <v>0.360072</v>
      </c>
      <c r="D371">
        <f t="shared" si="13"/>
        <v>0.360072</v>
      </c>
      <c r="E371">
        <f t="shared" si="14"/>
        <v>-0.57893300000000003</v>
      </c>
      <c r="F371">
        <v>-3.9698068704587294E-2</v>
      </c>
    </row>
    <row r="372" spans="1:6" x14ac:dyDescent="0.2">
      <c r="A372" s="15" t="s">
        <v>736</v>
      </c>
      <c r="B372" t="s">
        <v>737</v>
      </c>
      <c r="C372">
        <v>0.4234637</v>
      </c>
      <c r="D372">
        <f t="shared" si="13"/>
        <v>0.4234637</v>
      </c>
      <c r="E372">
        <f t="shared" si="14"/>
        <v>-0.66393441250000007</v>
      </c>
      <c r="F372">
        <v>-2.2772536736884688E-2</v>
      </c>
    </row>
    <row r="373" spans="1:6" x14ac:dyDescent="0.2">
      <c r="A373" s="15" t="s">
        <v>738</v>
      </c>
      <c r="B373" t="s">
        <v>739</v>
      </c>
      <c r="C373">
        <v>0.30036059999999998</v>
      </c>
      <c r="D373">
        <f t="shared" si="13"/>
        <v>0.30036059999999998</v>
      </c>
      <c r="E373">
        <f t="shared" si="14"/>
        <v>-0.76603615000000003</v>
      </c>
      <c r="F373">
        <v>-5.2890621211583921E-3</v>
      </c>
    </row>
    <row r="374" spans="1:6" x14ac:dyDescent="0.2">
      <c r="A374" s="15" t="s">
        <v>740</v>
      </c>
      <c r="B374" t="s">
        <v>741</v>
      </c>
      <c r="C374">
        <v>0.2449577</v>
      </c>
      <c r="D374">
        <f t="shared" si="13"/>
        <v>0.2449577</v>
      </c>
      <c r="E374">
        <f t="shared" si="14"/>
        <v>-0.89849739583333343</v>
      </c>
      <c r="F374">
        <v>1.2702277301487822E-2</v>
      </c>
    </row>
    <row r="375" spans="1:6" x14ac:dyDescent="0.2">
      <c r="A375" s="15" t="s">
        <v>742</v>
      </c>
      <c r="B375" t="s">
        <v>743</v>
      </c>
      <c r="C375">
        <v>0.2081182</v>
      </c>
      <c r="D375">
        <f>C375</f>
        <v>0.2081182</v>
      </c>
      <c r="E375">
        <f t="shared" si="14"/>
        <v>-1.0605416208333336</v>
      </c>
      <c r="F375">
        <v>3.1153762097836931E-2</v>
      </c>
    </row>
    <row r="376" spans="1:6" x14ac:dyDescent="0.2">
      <c r="A376" s="15" t="s">
        <v>744</v>
      </c>
      <c r="B376" t="s">
        <v>745</v>
      </c>
      <c r="C376">
        <v>-0.96375679999999997</v>
      </c>
      <c r="D376">
        <f>D375+($C$412-$C$376)/48</f>
        <v>0.23037181041666666</v>
      </c>
      <c r="E376">
        <f t="shared" si="14"/>
        <v>-1.2183584750000001</v>
      </c>
      <c r="F376">
        <v>5.0019464928982856E-2</v>
      </c>
    </row>
    <row r="377" spans="1:6" x14ac:dyDescent="0.2">
      <c r="A377" s="15" t="s">
        <v>746</v>
      </c>
      <c r="B377" t="s">
        <v>747</v>
      </c>
      <c r="C377">
        <v>-0.83679060000000005</v>
      </c>
      <c r="D377">
        <f t="shared" ref="D377:D412" si="15">D376+($C$412-$C$376)/48</f>
        <v>0.25262542083333334</v>
      </c>
      <c r="E377">
        <f t="shared" si="14"/>
        <v>-1.3634136583333332</v>
      </c>
      <c r="F377">
        <v>6.9254823922361347E-2</v>
      </c>
    </row>
    <row r="378" spans="1:6" x14ac:dyDescent="0.2">
      <c r="A378" s="15" t="s">
        <v>748</v>
      </c>
      <c r="B378" t="s">
        <v>749</v>
      </c>
      <c r="C378">
        <v>-1.1521437999999999</v>
      </c>
      <c r="D378">
        <f t="shared" si="15"/>
        <v>0.27487903125000002</v>
      </c>
      <c r="E378">
        <f t="shared" si="14"/>
        <v>-1.5254188541666667</v>
      </c>
      <c r="F378">
        <v>8.8816668813012228E-2</v>
      </c>
    </row>
    <row r="379" spans="1:6" x14ac:dyDescent="0.2">
      <c r="A379" s="15" t="s">
        <v>750</v>
      </c>
      <c r="B379" t="s">
        <v>751</v>
      </c>
      <c r="C379">
        <v>-1.3950807999999999</v>
      </c>
      <c r="D379">
        <f t="shared" si="15"/>
        <v>0.2971326416666667</v>
      </c>
      <c r="E379">
        <f t="shared" si="14"/>
        <v>-1.7762166749999999</v>
      </c>
      <c r="F379">
        <v>0.10866324423255642</v>
      </c>
    </row>
    <row r="380" spans="1:6" x14ac:dyDescent="0.2">
      <c r="A380" s="15" t="s">
        <v>752</v>
      </c>
      <c r="B380" t="s">
        <v>753</v>
      </c>
      <c r="C380">
        <v>-1.622849</v>
      </c>
      <c r="D380">
        <f t="shared" si="15"/>
        <v>0.31938625208333338</v>
      </c>
      <c r="E380">
        <f t="shared" si="14"/>
        <v>-2.0297958166666668</v>
      </c>
      <c r="F380">
        <v>0.12875423047899168</v>
      </c>
    </row>
    <row r="381" spans="1:6" x14ac:dyDescent="0.2">
      <c r="A381" s="15" t="s">
        <v>754</v>
      </c>
      <c r="B381" t="s">
        <v>755</v>
      </c>
      <c r="C381">
        <v>-1.5960266999999999</v>
      </c>
      <c r="D381">
        <f t="shared" si="15"/>
        <v>0.34163986250000006</v>
      </c>
      <c r="E381">
        <f t="shared" si="14"/>
        <v>-2.3050043583333335</v>
      </c>
      <c r="F381">
        <v>0.1490507620894935</v>
      </c>
    </row>
    <row r="382" spans="1:6" x14ac:dyDescent="0.2">
      <c r="A382" s="15" t="s">
        <v>756</v>
      </c>
      <c r="B382" t="s">
        <v>757</v>
      </c>
      <c r="C382">
        <v>-2.0366355</v>
      </c>
      <c r="D382">
        <f t="shared" si="15"/>
        <v>0.36389347291666674</v>
      </c>
      <c r="E382">
        <f t="shared" si="14"/>
        <v>-2.5638674958333332</v>
      </c>
      <c r="F382">
        <v>0.16951544452733003</v>
      </c>
    </row>
    <row r="383" spans="1:6" x14ac:dyDescent="0.2">
      <c r="A383" s="15" t="s">
        <v>758</v>
      </c>
      <c r="B383" t="s">
        <v>759</v>
      </c>
      <c r="C383">
        <v>-2.9405306000000002</v>
      </c>
      <c r="D383">
        <f t="shared" si="15"/>
        <v>0.38614708333333342</v>
      </c>
      <c r="E383">
        <f t="shared" si="14"/>
        <v>-2.8400312416666669</v>
      </c>
      <c r="F383">
        <v>0.19011236928277878</v>
      </c>
    </row>
    <row r="384" spans="1:6" x14ac:dyDescent="0.2">
      <c r="A384" s="15" t="s">
        <v>760</v>
      </c>
      <c r="B384" t="s">
        <v>761</v>
      </c>
      <c r="C384">
        <v>-3.2029188</v>
      </c>
      <c r="D384">
        <f t="shared" si="15"/>
        <v>0.4084006937500001</v>
      </c>
      <c r="E384">
        <f t="shared" si="14"/>
        <v>-3.1485111291666672</v>
      </c>
      <c r="F384">
        <v>0.21080712767658311</v>
      </c>
    </row>
    <row r="385" spans="1:6" x14ac:dyDescent="0.2">
      <c r="A385" s="15" t="s">
        <v>762</v>
      </c>
      <c r="B385" t="s">
        <v>763</v>
      </c>
      <c r="C385">
        <v>-3.7475021000000002</v>
      </c>
      <c r="D385">
        <f t="shared" si="15"/>
        <v>0.43065430416666678</v>
      </c>
      <c r="E385">
        <f t="shared" si="14"/>
        <v>-3.4614137291666669</v>
      </c>
      <c r="F385">
        <v>0.23156682364302075</v>
      </c>
    </row>
    <row r="386" spans="1:6" x14ac:dyDescent="0.2">
      <c r="A386" s="15" t="s">
        <v>764</v>
      </c>
      <c r="B386" t="s">
        <v>765</v>
      </c>
      <c r="C386">
        <v>-4.5877938</v>
      </c>
      <c r="D386">
        <f t="shared" si="15"/>
        <v>0.45290791458333346</v>
      </c>
      <c r="E386">
        <f t="shared" si="14"/>
        <v>-3.7829222124999995</v>
      </c>
      <c r="F386">
        <v>0.252360085758083</v>
      </c>
    </row>
    <row r="387" spans="1:6" x14ac:dyDescent="0.2">
      <c r="A387" s="15" t="s">
        <v>766</v>
      </c>
      <c r="B387" t="s">
        <v>767</v>
      </c>
      <c r="C387">
        <v>-4.7215680000000004</v>
      </c>
      <c r="D387">
        <f t="shared" si="15"/>
        <v>0.47516152500000014</v>
      </c>
      <c r="E387">
        <f t="shared" si="14"/>
        <v>-4.0915682958333326</v>
      </c>
      <c r="F387">
        <v>0.2731570787665924</v>
      </c>
    </row>
    <row r="388" spans="1:6" x14ac:dyDescent="0.2">
      <c r="A388" s="15" t="s">
        <v>768</v>
      </c>
      <c r="B388" t="s">
        <v>769</v>
      </c>
      <c r="C388">
        <v>-4.5654569</v>
      </c>
      <c r="D388">
        <f t="shared" si="15"/>
        <v>0.49741513541666682</v>
      </c>
      <c r="E388">
        <f t="shared" si="14"/>
        <v>-4.3585915374999997</v>
      </c>
      <c r="F388">
        <v>0.29392951485032237</v>
      </c>
    </row>
    <row r="389" spans="1:6" x14ac:dyDescent="0.2">
      <c r="A389" s="15" t="s">
        <v>770</v>
      </c>
      <c r="B389" t="s">
        <v>771</v>
      </c>
      <c r="C389">
        <v>-4.9558619999999998</v>
      </c>
      <c r="D389">
        <f t="shared" si="15"/>
        <v>0.51966874583333345</v>
      </c>
      <c r="E389">
        <f t="shared" si="14"/>
        <v>-4.5499318999999998</v>
      </c>
      <c r="F389">
        <v>0.31465066486732901</v>
      </c>
    </row>
    <row r="390" spans="1:6" x14ac:dyDescent="0.2">
      <c r="A390" s="15" t="s">
        <v>772</v>
      </c>
      <c r="B390" t="s">
        <v>773</v>
      </c>
      <c r="C390">
        <v>-6.3465134000000001</v>
      </c>
      <c r="D390">
        <f t="shared" si="15"/>
        <v>0.54192235625000007</v>
      </c>
      <c r="E390">
        <f t="shared" si="14"/>
        <v>-4.7350221624999991</v>
      </c>
      <c r="F390">
        <v>0.33529536978076535</v>
      </c>
    </row>
    <row r="391" spans="1:6" x14ac:dyDescent="0.2">
      <c r="A391" s="15" t="s">
        <v>774</v>
      </c>
      <c r="B391" t="s">
        <v>775</v>
      </c>
      <c r="C391">
        <v>-5.8321233000000001</v>
      </c>
      <c r="D391">
        <f t="shared" si="15"/>
        <v>0.5641759666666667</v>
      </c>
      <c r="E391">
        <f t="shared" si="14"/>
        <v>-4.8398023624999995</v>
      </c>
      <c r="F391">
        <v>0.35584005248342154</v>
      </c>
    </row>
    <row r="392" spans="1:6" x14ac:dyDescent="0.2">
      <c r="A392" s="15" t="s">
        <v>776</v>
      </c>
      <c r="B392" t="s">
        <v>777</v>
      </c>
      <c r="C392">
        <v>-6.2258693000000003</v>
      </c>
      <c r="D392">
        <f t="shared" si="15"/>
        <v>0.58642957708333332</v>
      </c>
      <c r="E392">
        <f t="shared" si="14"/>
        <v>-4.9402928249999993</v>
      </c>
      <c r="F392">
        <v>0.3762627302121192</v>
      </c>
    </row>
    <row r="393" spans="1:6" x14ac:dyDescent="0.2">
      <c r="A393" s="15" t="s">
        <v>778</v>
      </c>
      <c r="B393" t="s">
        <v>779</v>
      </c>
      <c r="C393">
        <v>-6.1612559999999998</v>
      </c>
      <c r="D393">
        <f t="shared" si="15"/>
        <v>0.60868318749999994</v>
      </c>
      <c r="E393">
        <f t="shared" si="14"/>
        <v>-4.9932860916666657</v>
      </c>
      <c r="F393">
        <v>0.396543027733882</v>
      </c>
    </row>
    <row r="394" spans="1:6" x14ac:dyDescent="0.2">
      <c r="A394" s="15" t="s">
        <v>780</v>
      </c>
      <c r="B394" t="s">
        <v>781</v>
      </c>
      <c r="C394">
        <v>-6.8070446000000002</v>
      </c>
      <c r="D394">
        <f t="shared" si="15"/>
        <v>0.63093679791666657</v>
      </c>
      <c r="E394">
        <f t="shared" si="14"/>
        <v>-5.0241093458333319</v>
      </c>
      <c r="F394">
        <v>0.41666219147350275</v>
      </c>
    </row>
    <row r="395" spans="1:6" x14ac:dyDescent="0.2">
      <c r="A395" s="15" t="s">
        <v>782</v>
      </c>
      <c r="B395" t="s">
        <v>783</v>
      </c>
      <c r="C395">
        <v>-7.0434453000000001</v>
      </c>
      <c r="D395">
        <f t="shared" si="15"/>
        <v>0.65319040833333319</v>
      </c>
      <c r="E395">
        <f t="shared" si="14"/>
        <v>-5.0238788041666655</v>
      </c>
      <c r="F395">
        <v>0.43660310473972314</v>
      </c>
    </row>
    <row r="396" spans="1:6" x14ac:dyDescent="0.2">
      <c r="A396" s="15" t="s">
        <v>784</v>
      </c>
      <c r="B396" t="s">
        <v>785</v>
      </c>
      <c r="C396">
        <v>-7.0861986999999997</v>
      </c>
      <c r="D396">
        <f t="shared" si="15"/>
        <v>0.67544401874999982</v>
      </c>
      <c r="E396">
        <f t="shared" si="14"/>
        <v>-4.9787550374999991</v>
      </c>
      <c r="F396">
        <v>0.45635030419472961</v>
      </c>
    </row>
    <row r="397" spans="1:6" x14ac:dyDescent="0.2">
      <c r="A397" s="15" t="s">
        <v>786</v>
      </c>
      <c r="B397" t="s">
        <v>787</v>
      </c>
      <c r="C397">
        <v>-7.4158429999999997</v>
      </c>
      <c r="D397">
        <f t="shared" si="15"/>
        <v>0.69769762916666644</v>
      </c>
      <c r="E397">
        <f t="shared" si="14"/>
        <v>-4.8784537916666659</v>
      </c>
      <c r="F397">
        <v>0.47588999769903889</v>
      </c>
    </row>
    <row r="398" spans="1:6" x14ac:dyDescent="0.2">
      <c r="A398" s="15" t="s">
        <v>788</v>
      </c>
      <c r="B398" t="s">
        <v>789</v>
      </c>
      <c r="C398">
        <v>-7.1625483000000001</v>
      </c>
      <c r="D398">
        <f t="shared" si="15"/>
        <v>0.71995123958333307</v>
      </c>
      <c r="E398">
        <f t="shared" si="14"/>
        <v>-4.6880550208333327</v>
      </c>
      <c r="F398">
        <v>0.49521008365108871</v>
      </c>
    </row>
    <row r="399" spans="1:6" x14ac:dyDescent="0.2">
      <c r="A399" s="15" t="s">
        <v>790</v>
      </c>
      <c r="B399" t="s">
        <v>791</v>
      </c>
      <c r="C399">
        <v>-6.2004396000000002</v>
      </c>
      <c r="D399">
        <f t="shared" si="15"/>
        <v>0.74220484999999969</v>
      </c>
      <c r="E399">
        <f t="shared" si="14"/>
        <v>-4.4544515999999996</v>
      </c>
      <c r="F399">
        <v>0.51430017192795474</v>
      </c>
    </row>
    <row r="400" spans="1:6" x14ac:dyDescent="0.2">
      <c r="A400" s="15" t="s">
        <v>792</v>
      </c>
      <c r="B400" t="s">
        <v>793</v>
      </c>
      <c r="C400">
        <v>-5.5559254999999999</v>
      </c>
      <c r="D400">
        <f t="shared" si="15"/>
        <v>0.76445846041666632</v>
      </c>
      <c r="E400">
        <f t="shared" si="14"/>
        <v>-4.2592081416666661</v>
      </c>
      <c r="F400">
        <v>0.53315160652057014</v>
      </c>
    </row>
    <row r="401" spans="1:6" x14ac:dyDescent="0.2">
      <c r="A401" s="15" t="s">
        <v>794</v>
      </c>
      <c r="B401" t="s">
        <v>795</v>
      </c>
      <c r="C401">
        <v>-5.2789568999999998</v>
      </c>
      <c r="D401">
        <f t="shared" si="15"/>
        <v>0.78671207083333294</v>
      </c>
      <c r="E401">
        <f t="shared" si="14"/>
        <v>-4.0646300833333324</v>
      </c>
      <c r="F401">
        <v>0.55175748994361851</v>
      </c>
    </row>
    <row r="402" spans="1:6" x14ac:dyDescent="0.2">
      <c r="A402" s="15" t="s">
        <v>796</v>
      </c>
      <c r="B402" t="s">
        <v>797</v>
      </c>
      <c r="C402">
        <v>-3.6668685999999999</v>
      </c>
      <c r="D402">
        <f t="shared" si="15"/>
        <v>0.80896568124999957</v>
      </c>
      <c r="E402">
        <f t="shared" si="14"/>
        <v>-3.8404114583333322</v>
      </c>
      <c r="F402">
        <v>0.57011270948689086</v>
      </c>
    </row>
    <row r="403" spans="1:6" x14ac:dyDescent="0.2">
      <c r="A403" s="15" t="s">
        <v>798</v>
      </c>
      <c r="B403" t="s">
        <v>799</v>
      </c>
      <c r="C403">
        <v>-3.8068518999999998</v>
      </c>
      <c r="D403">
        <f t="shared" si="15"/>
        <v>0.83121929166666619</v>
      </c>
      <c r="E403">
        <f t="shared" si="14"/>
        <v>-3.5529193208333325</v>
      </c>
      <c r="F403">
        <v>0.5882139653613272</v>
      </c>
    </row>
    <row r="404" spans="1:6" x14ac:dyDescent="0.2">
      <c r="A404" s="15" t="s">
        <v>800</v>
      </c>
      <c r="B404" t="s">
        <v>801</v>
      </c>
      <c r="C404">
        <v>-2.8946874</v>
      </c>
      <c r="D404">
        <f t="shared" si="15"/>
        <v>0.85347290208333282</v>
      </c>
      <c r="E404">
        <f t="shared" si="14"/>
        <v>-3.2818491416666657</v>
      </c>
      <c r="F404">
        <v>0.60605980077919275</v>
      </c>
    </row>
    <row r="405" spans="1:6" x14ac:dyDescent="0.2">
      <c r="A405" s="15" t="s">
        <v>802</v>
      </c>
      <c r="B405" t="s">
        <v>803</v>
      </c>
      <c r="C405">
        <v>-2.3357847999999999</v>
      </c>
      <c r="D405">
        <f t="shared" si="15"/>
        <v>0.87572651249999944</v>
      </c>
      <c r="E405">
        <f t="shared" si="14"/>
        <v>-3.0007090874999993</v>
      </c>
      <c r="F405">
        <v>0.62365063399385079</v>
      </c>
    </row>
    <row r="406" spans="1:6" x14ac:dyDescent="0.2">
      <c r="A406" s="15" t="s">
        <v>804</v>
      </c>
      <c r="B406" t="s">
        <v>805</v>
      </c>
      <c r="C406">
        <v>-2.0311024999999998</v>
      </c>
      <c r="D406">
        <f t="shared" si="15"/>
        <v>0.89798012291666607</v>
      </c>
      <c r="E406">
        <f t="shared" si="14"/>
        <v>-2.7162809124999998</v>
      </c>
      <c r="F406">
        <v>0.64098879231037209</v>
      </c>
    </row>
    <row r="407" spans="1:6" x14ac:dyDescent="0.2">
      <c r="A407" s="15" t="s">
        <v>806</v>
      </c>
      <c r="B407" t="s">
        <v>807</v>
      </c>
      <c r="C407">
        <v>-1.8575602</v>
      </c>
      <c r="D407">
        <f t="shared" si="15"/>
        <v>0.92023373333333269</v>
      </c>
      <c r="E407">
        <f t="shared" si="14"/>
        <v>-2.4112792083333336</v>
      </c>
      <c r="F407">
        <v>0.6580785480637541</v>
      </c>
    </row>
    <row r="408" spans="1:6" x14ac:dyDescent="0.2">
      <c r="A408" s="15" t="s">
        <v>808</v>
      </c>
      <c r="B408" t="s">
        <v>809</v>
      </c>
      <c r="C408">
        <v>-0.79568890000000003</v>
      </c>
      <c r="D408">
        <f t="shared" si="15"/>
        <v>0.94248734374999932</v>
      </c>
      <c r="E408">
        <f t="shared" si="14"/>
        <v>-2.0883893000000007</v>
      </c>
      <c r="F408">
        <v>0.674926156546792</v>
      </c>
    </row>
    <row r="409" spans="1:6" x14ac:dyDescent="0.2">
      <c r="A409" s="15" t="s">
        <v>810</v>
      </c>
      <c r="B409" t="s">
        <v>811</v>
      </c>
      <c r="C409">
        <v>0.82206840000000003</v>
      </c>
      <c r="D409">
        <f t="shared" si="15"/>
        <v>0.96474095416666594</v>
      </c>
      <c r="E409">
        <f t="shared" si="14"/>
        <v>-1.7458741500000006</v>
      </c>
      <c r="F409">
        <v>0.6915398958546366</v>
      </c>
    </row>
    <row r="410" spans="1:6" x14ac:dyDescent="0.2">
      <c r="A410" s="15" t="s">
        <v>812</v>
      </c>
      <c r="B410" t="s">
        <v>813</v>
      </c>
      <c r="C410">
        <v>1.0186883</v>
      </c>
      <c r="D410">
        <f t="shared" si="15"/>
        <v>0.98699456458333257</v>
      </c>
      <c r="E410">
        <f t="shared" si="14"/>
        <v>-1.4008001083333339</v>
      </c>
      <c r="F410">
        <v>0.70793010859777206</v>
      </c>
    </row>
    <row r="411" spans="1:6" x14ac:dyDescent="0.2">
      <c r="A411" s="15" t="s">
        <v>814</v>
      </c>
      <c r="B411" t="s">
        <v>815</v>
      </c>
      <c r="C411">
        <v>-3.5725E-2</v>
      </c>
      <c r="D411">
        <f t="shared" si="15"/>
        <v>1.0092481749999993</v>
      </c>
      <c r="E411">
        <f t="shared" si="14"/>
        <v>-1.0719801166666667</v>
      </c>
      <c r="F411">
        <v>0.72410924541953992</v>
      </c>
    </row>
    <row r="412" spans="1:6" x14ac:dyDescent="0.2">
      <c r="A412" s="15" t="s">
        <v>816</v>
      </c>
      <c r="B412" t="s">
        <v>817</v>
      </c>
      <c r="C412">
        <v>0.1044165</v>
      </c>
      <c r="D412">
        <f t="shared" si="15"/>
        <v>1.0315017854166659</v>
      </c>
      <c r="E412">
        <f t="shared" si="14"/>
        <v>-0.79644750833333322</v>
      </c>
      <c r="F412">
        <v>0.74009191023840504</v>
      </c>
    </row>
    <row r="413" spans="1:6" x14ac:dyDescent="0.2">
      <c r="A413" s="15" t="s">
        <v>818</v>
      </c>
      <c r="B413" t="s">
        <v>819</v>
      </c>
      <c r="C413">
        <v>0.42538500000000001</v>
      </c>
      <c r="D413">
        <f>C413</f>
        <v>0.42538500000000001</v>
      </c>
      <c r="E413">
        <f t="shared" ref="E413:E424" si="16">AVERAGE(C401:C424)</f>
        <v>-0.54045244583333363</v>
      </c>
      <c r="F413">
        <v>0.75589490711889373</v>
      </c>
    </row>
    <row r="414" spans="1:6" x14ac:dyDescent="0.2">
      <c r="A414" s="15" t="s">
        <v>820</v>
      </c>
      <c r="B414" t="s">
        <v>821</v>
      </c>
      <c r="C414">
        <v>0.55329790000000001</v>
      </c>
      <c r="D414">
        <f t="shared" ref="D414:D438" si="17">C414</f>
        <v>0.55329790000000001</v>
      </c>
      <c r="E414">
        <f t="shared" si="16"/>
        <v>-0.29180197499999999</v>
      </c>
      <c r="F414">
        <v>0.77153728865851989</v>
      </c>
    </row>
    <row r="415" spans="1:6" x14ac:dyDescent="0.2">
      <c r="A415" s="15" t="s">
        <v>822</v>
      </c>
      <c r="B415" t="s">
        <v>823</v>
      </c>
      <c r="C415">
        <v>0.67356099999999997</v>
      </c>
      <c r="D415">
        <f t="shared" si="17"/>
        <v>0.67356099999999997</v>
      </c>
      <c r="E415">
        <f t="shared" si="16"/>
        <v>-9.2608599999999888E-2</v>
      </c>
      <c r="F415">
        <v>0.78703555722403251</v>
      </c>
    </row>
    <row r="416" spans="1:6" x14ac:dyDescent="0.2">
      <c r="A416" s="15" t="s">
        <v>824</v>
      </c>
      <c r="B416" t="s">
        <v>825</v>
      </c>
      <c r="C416">
        <v>0.52149199999999996</v>
      </c>
      <c r="D416">
        <f t="shared" si="17"/>
        <v>0.52149199999999996</v>
      </c>
      <c r="E416">
        <f t="shared" si="16"/>
        <v>0.10339442500000019</v>
      </c>
      <c r="F416">
        <v>0.80240453123628064</v>
      </c>
    </row>
    <row r="417" spans="1:6" x14ac:dyDescent="0.2">
      <c r="A417" s="15" t="s">
        <v>826</v>
      </c>
      <c r="B417" t="s">
        <v>827</v>
      </c>
      <c r="C417">
        <v>0.66502019999999995</v>
      </c>
      <c r="D417">
        <f t="shared" si="17"/>
        <v>0.66502019999999995</v>
      </c>
      <c r="E417">
        <f t="shared" si="16"/>
        <v>0.27279784583333333</v>
      </c>
      <c r="F417">
        <v>0.81765815354082616</v>
      </c>
    </row>
    <row r="418" spans="1:6" x14ac:dyDescent="0.2">
      <c r="A418" s="15" t="s">
        <v>828</v>
      </c>
      <c r="B418" t="s">
        <v>829</v>
      </c>
      <c r="C418">
        <v>0.51299629999999996</v>
      </c>
      <c r="D418">
        <f t="shared" si="17"/>
        <v>0.51299629999999996</v>
      </c>
      <c r="E418">
        <f t="shared" si="16"/>
        <v>0.4153205791666667</v>
      </c>
      <c r="F418">
        <v>0.83280819944826778</v>
      </c>
    </row>
    <row r="419" spans="1:6" x14ac:dyDescent="0.2">
      <c r="A419" s="15" t="s">
        <v>830</v>
      </c>
      <c r="B419" t="s">
        <v>831</v>
      </c>
      <c r="C419">
        <v>0.70591250000000005</v>
      </c>
      <c r="D419">
        <f t="shared" si="17"/>
        <v>0.70591250000000005</v>
      </c>
      <c r="E419">
        <f t="shared" si="16"/>
        <v>0.54884831249999999</v>
      </c>
      <c r="F419">
        <v>0.84786526650721694</v>
      </c>
    </row>
    <row r="420" spans="1:6" x14ac:dyDescent="0.2">
      <c r="A420" s="15" t="s">
        <v>832</v>
      </c>
      <c r="B420" t="s">
        <v>833</v>
      </c>
      <c r="C420">
        <v>1.1341649</v>
      </c>
      <c r="D420">
        <f t="shared" si="17"/>
        <v>1.1341649</v>
      </c>
      <c r="E420">
        <f t="shared" si="16"/>
        <v>0.67645690833333338</v>
      </c>
      <c r="F420">
        <v>0.86283748458187559</v>
      </c>
    </row>
    <row r="421" spans="1:6" x14ac:dyDescent="0.2">
      <c r="A421" s="15" t="s">
        <v>834</v>
      </c>
      <c r="B421" t="s">
        <v>835</v>
      </c>
      <c r="C421">
        <v>0.86593399999999998</v>
      </c>
      <c r="D421">
        <f t="shared" si="17"/>
        <v>0.86593399999999998</v>
      </c>
      <c r="E421">
        <f t="shared" si="16"/>
        <v>0.75265420416666673</v>
      </c>
      <c r="F421">
        <v>0.8777318882218893</v>
      </c>
    </row>
    <row r="422" spans="1:6" x14ac:dyDescent="0.2">
      <c r="A422" s="15" t="s">
        <v>836</v>
      </c>
      <c r="B422" t="s">
        <v>837</v>
      </c>
      <c r="C422">
        <v>0.72913150000000004</v>
      </c>
      <c r="D422">
        <f t="shared" si="17"/>
        <v>0.72913150000000004</v>
      </c>
      <c r="E422">
        <f t="shared" si="16"/>
        <v>0.7610709375000001</v>
      </c>
      <c r="F422">
        <v>0.89255760555264008</v>
      </c>
    </row>
    <row r="423" spans="1:6" x14ac:dyDescent="0.2">
      <c r="A423" s="15" t="s">
        <v>838</v>
      </c>
      <c r="B423" t="s">
        <v>839</v>
      </c>
      <c r="C423">
        <v>0.41234300000000002</v>
      </c>
      <c r="D423">
        <f t="shared" si="17"/>
        <v>0.41234300000000002</v>
      </c>
      <c r="E423">
        <f t="shared" si="16"/>
        <v>0.76180392500000016</v>
      </c>
      <c r="F423">
        <v>0.90732367366642197</v>
      </c>
    </row>
    <row r="424" spans="1:6" x14ac:dyDescent="0.2">
      <c r="A424" s="15" t="s">
        <v>840</v>
      </c>
      <c r="B424" t="s">
        <v>841</v>
      </c>
      <c r="C424">
        <v>0.58795600000000003</v>
      </c>
      <c r="D424">
        <f t="shared" si="17"/>
        <v>0.58795600000000003</v>
      </c>
      <c r="E424">
        <f t="shared" si="16"/>
        <v>0.81932288333333336</v>
      </c>
      <c r="F424">
        <v>0.92203786865162829</v>
      </c>
    </row>
    <row r="425" spans="1:6" x14ac:dyDescent="0.2">
      <c r="A425" s="15" t="s">
        <v>842</v>
      </c>
      <c r="B425" t="s">
        <v>843</v>
      </c>
      <c r="C425">
        <v>0.6886544</v>
      </c>
      <c r="D425">
        <f t="shared" si="17"/>
        <v>0.6886544</v>
      </c>
      <c r="E425">
        <f>AVERAGE(C413:C436)</f>
        <v>0.86617427916666678</v>
      </c>
      <c r="F425">
        <v>0.936704147301331</v>
      </c>
    </row>
    <row r="426" spans="1:6" x14ac:dyDescent="0.2">
      <c r="A426" s="15" t="s">
        <v>844</v>
      </c>
      <c r="B426" t="s">
        <v>845</v>
      </c>
      <c r="C426">
        <v>1.1137724</v>
      </c>
      <c r="D426">
        <f t="shared" si="17"/>
        <v>1.1137724</v>
      </c>
      <c r="E426">
        <f>AVERAGE(C414:C437)</f>
        <v>0.88118782083333347</v>
      </c>
      <c r="F426">
        <v>0.95132388861640571</v>
      </c>
    </row>
    <row r="427" spans="1:6" x14ac:dyDescent="0.2">
      <c r="A427" s="15" t="s">
        <v>846</v>
      </c>
      <c r="B427" t="s">
        <v>847</v>
      </c>
      <c r="C427">
        <v>0.89722069999999998</v>
      </c>
      <c r="D427">
        <f t="shared" si="17"/>
        <v>0.89722069999999998</v>
      </c>
      <c r="E427">
        <f>AVERAGE(C415:C438)</f>
        <v>0.87744374166666672</v>
      </c>
      <c r="F427">
        <v>0.96589655763362825</v>
      </c>
    </row>
    <row r="428" spans="1:6" x14ac:dyDescent="0.2">
      <c r="A428" s="15" t="s">
        <v>848</v>
      </c>
      <c r="B428" t="s">
        <v>849</v>
      </c>
      <c r="C428">
        <v>1.1709947000000001</v>
      </c>
      <c r="D428">
        <f t="shared" si="17"/>
        <v>1.1709947000000001</v>
      </c>
      <c r="F428">
        <v>0.98042287285051033</v>
      </c>
    </row>
    <row r="429" spans="1:6" x14ac:dyDescent="0.2">
      <c r="A429" s="15" t="s">
        <v>850</v>
      </c>
      <c r="B429" t="s">
        <v>851</v>
      </c>
      <c r="C429">
        <v>1.0847608</v>
      </c>
      <c r="D429">
        <f t="shared" si="17"/>
        <v>1.0847608</v>
      </c>
      <c r="F429">
        <v>0.99490302285825483</v>
      </c>
    </row>
    <row r="430" spans="1:6" x14ac:dyDescent="0.2">
      <c r="A430" s="15" t="s">
        <v>852</v>
      </c>
      <c r="B430" t="s">
        <v>853</v>
      </c>
      <c r="C430">
        <v>1.1735631</v>
      </c>
      <c r="D430">
        <f t="shared" si="17"/>
        <v>1.1735631</v>
      </c>
      <c r="F430">
        <v>1.0093386667096935</v>
      </c>
    </row>
    <row r="431" spans="1:6" x14ac:dyDescent="0.2">
      <c r="A431" s="15" t="s">
        <v>854</v>
      </c>
      <c r="B431" t="s">
        <v>855</v>
      </c>
      <c r="C431">
        <v>1.2050460999999999</v>
      </c>
      <c r="D431">
        <f t="shared" si="17"/>
        <v>1.2050460999999999</v>
      </c>
      <c r="F431">
        <v>1.0237321568047042</v>
      </c>
    </row>
    <row r="432" spans="1:6" x14ac:dyDescent="0.2">
      <c r="A432" s="15" t="s">
        <v>856</v>
      </c>
      <c r="B432" t="s">
        <v>857</v>
      </c>
      <c r="C432">
        <v>1.0330462</v>
      </c>
      <c r="D432">
        <f t="shared" si="17"/>
        <v>1.0330462</v>
      </c>
      <c r="F432">
        <v>1.0380871127070019</v>
      </c>
    </row>
    <row r="433" spans="1:6" x14ac:dyDescent="0.2">
      <c r="A433" s="15" t="s">
        <v>858</v>
      </c>
      <c r="B433" t="s">
        <v>859</v>
      </c>
      <c r="C433">
        <v>1.02407</v>
      </c>
      <c r="D433">
        <f t="shared" si="17"/>
        <v>1.02407</v>
      </c>
      <c r="F433">
        <v>1.0524085530076415</v>
      </c>
    </row>
    <row r="434" spans="1:6" x14ac:dyDescent="0.2">
      <c r="A434" s="15" t="s">
        <v>860</v>
      </c>
      <c r="B434" t="s">
        <v>861</v>
      </c>
      <c r="C434">
        <v>1.0362800000000001</v>
      </c>
      <c r="D434">
        <f t="shared" si="17"/>
        <v>1.0362800000000001</v>
      </c>
      <c r="F434">
        <v>1.0667014574017455</v>
      </c>
    </row>
    <row r="435" spans="1:6" x14ac:dyDescent="0.2">
      <c r="A435" s="15" t="s">
        <v>862</v>
      </c>
      <c r="B435" t="s">
        <v>863</v>
      </c>
      <c r="C435">
        <v>1.34473</v>
      </c>
      <c r="D435">
        <f t="shared" si="17"/>
        <v>1.34473</v>
      </c>
      <c r="F435">
        <v>1.0809705869227628</v>
      </c>
    </row>
    <row r="436" spans="1:6" x14ac:dyDescent="0.2">
      <c r="A436" s="15" t="s">
        <v>864</v>
      </c>
      <c r="B436" t="s">
        <v>865</v>
      </c>
      <c r="C436">
        <v>1.22885</v>
      </c>
      <c r="D436">
        <f t="shared" si="17"/>
        <v>1.22885</v>
      </c>
      <c r="F436">
        <v>1.0952204678706747</v>
      </c>
    </row>
    <row r="437" spans="1:6" x14ac:dyDescent="0.2">
      <c r="A437" s="15" t="s">
        <v>866</v>
      </c>
      <c r="B437" t="s">
        <v>867</v>
      </c>
      <c r="C437">
        <v>0.78571000000000002</v>
      </c>
      <c r="D437">
        <f t="shared" si="17"/>
        <v>0.78571000000000002</v>
      </c>
      <c r="F437">
        <v>1.1094576617261187</v>
      </c>
    </row>
    <row r="438" spans="1:6" x14ac:dyDescent="0.2">
      <c r="A438" s="15" t="s">
        <v>868</v>
      </c>
      <c r="B438" t="s">
        <v>869</v>
      </c>
      <c r="C438">
        <v>0.46344000000000002</v>
      </c>
      <c r="D438">
        <f t="shared" si="17"/>
        <v>0.46344000000000002</v>
      </c>
      <c r="F438">
        <v>1.1236897610618013</v>
      </c>
    </row>
  </sheetData>
  <hyperlinks>
    <hyperlink ref="A1" r:id="rId1" xr:uid="{00000000-0004-0000-0000-000000000000}"/>
    <hyperlink ref="A1" r:id="rId2" xr:uid="{00000000-0004-0000-0000-000001000000}"/>
    <hyperlink ref="C6" r:id="rId3" xr:uid="{00000000-0004-0000-0000-000002000000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Felix Nelgy Skov Wohlert</cp:lastModifiedBy>
  <dcterms:created xsi:type="dcterms:W3CDTF">2026-05-02T11:09:28Z</dcterms:created>
  <dcterms:modified xsi:type="dcterms:W3CDTF">2026-05-03T11:45:01Z</dcterms:modified>
</cp:coreProperties>
</file>