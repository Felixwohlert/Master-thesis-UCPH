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elixwohlert/Desktop/Speciale/Code for thesis/Data/Moments/"/>
    </mc:Choice>
  </mc:AlternateContent>
  <xr:revisionPtr revIDLastSave="0" documentId="13_ncr:1_{EAB6988C-57F2-E847-B029-0CE2333811A3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BYGB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2" i="2" l="1"/>
  <c r="E280" i="2"/>
  <c r="E279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E273" i="2"/>
  <c r="E272" i="2"/>
  <c r="E251" i="2"/>
  <c r="E244" i="2"/>
  <c r="E237" i="2"/>
  <c r="E230" i="2"/>
  <c r="E223" i="2"/>
  <c r="E216" i="2"/>
  <c r="E263" i="2"/>
  <c r="E262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E268" i="2"/>
  <c r="P256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F256" i="2"/>
  <c r="G256" i="2"/>
  <c r="H256" i="2"/>
  <c r="I256" i="2"/>
  <c r="J256" i="2"/>
  <c r="K256" i="2"/>
  <c r="L256" i="2"/>
  <c r="M256" i="2"/>
  <c r="N256" i="2"/>
  <c r="O256" i="2"/>
  <c r="Q256" i="2"/>
  <c r="R256" i="2"/>
  <c r="S256" i="2"/>
  <c r="T256" i="2"/>
  <c r="U256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E252" i="2"/>
  <c r="E253" i="2"/>
  <c r="E254" i="2"/>
  <c r="E255" i="2"/>
  <c r="E256" i="2"/>
  <c r="E257" i="2"/>
  <c r="E250" i="2"/>
  <c r="E218" i="2"/>
  <c r="E209" i="2"/>
  <c r="D102" i="2"/>
  <c r="D101" i="2"/>
  <c r="D100" i="2"/>
  <c r="D99" i="2"/>
  <c r="D98" i="2"/>
  <c r="D97" i="2"/>
  <c r="D96" i="2"/>
  <c r="D52" i="2"/>
  <c r="D51" i="2"/>
  <c r="D50" i="2"/>
  <c r="D49" i="2"/>
  <c r="D48" i="2"/>
  <c r="D47" i="2"/>
  <c r="D46" i="2"/>
  <c r="D45" i="2"/>
  <c r="K250" i="2" s="1"/>
  <c r="D44" i="2"/>
  <c r="K249" i="2" s="1"/>
  <c r="D43" i="2"/>
  <c r="K248" i="2" s="1"/>
  <c r="D42" i="2"/>
  <c r="K247" i="2" s="1"/>
  <c r="D41" i="2"/>
  <c r="K246" i="2" s="1"/>
  <c r="D40" i="2"/>
  <c r="E245" i="2" s="1"/>
  <c r="D39" i="2"/>
  <c r="K244" i="2" s="1"/>
  <c r="D38" i="2"/>
  <c r="K243" i="2" s="1"/>
  <c r="D37" i="2"/>
  <c r="K242" i="2" s="1"/>
  <c r="D36" i="2"/>
  <c r="H241" i="2" s="1"/>
  <c r="D35" i="2"/>
  <c r="I240" i="2" s="1"/>
  <c r="D34" i="2"/>
  <c r="H239" i="2" s="1"/>
  <c r="D33" i="2"/>
  <c r="F238" i="2" s="1"/>
  <c r="D32" i="2"/>
  <c r="M237" i="2" s="1"/>
  <c r="D31" i="2"/>
  <c r="L236" i="2" s="1"/>
  <c r="D30" i="2"/>
  <c r="Q235" i="2" s="1"/>
  <c r="D29" i="2"/>
  <c r="J234" i="2" s="1"/>
  <c r="D28" i="2"/>
  <c r="R233" i="2" s="1"/>
  <c r="D27" i="2"/>
  <c r="J232" i="2" s="1"/>
  <c r="D26" i="2"/>
  <c r="J231" i="2" s="1"/>
  <c r="D25" i="2"/>
  <c r="K230" i="2" s="1"/>
  <c r="D24" i="2"/>
  <c r="K229" i="2" s="1"/>
  <c r="D23" i="2"/>
  <c r="Q228" i="2" s="1"/>
  <c r="D22" i="2"/>
  <c r="Q227" i="2" s="1"/>
  <c r="D21" i="2"/>
  <c r="S226" i="2" s="1"/>
  <c r="D20" i="2"/>
  <c r="K225" i="2" s="1"/>
  <c r="D19" i="2"/>
  <c r="R224" i="2" s="1"/>
  <c r="D18" i="2"/>
  <c r="J223" i="2" s="1"/>
  <c r="D17" i="2"/>
  <c r="K222" i="2" s="1"/>
  <c r="D16" i="2"/>
  <c r="K221" i="2" s="1"/>
  <c r="D15" i="2"/>
  <c r="Q220" i="2" s="1"/>
  <c r="D14" i="2"/>
  <c r="Q219" i="2" s="1"/>
  <c r="D13" i="2"/>
  <c r="S218" i="2" s="1"/>
  <c r="D12" i="2"/>
  <c r="R217" i="2" s="1"/>
  <c r="D11" i="2"/>
  <c r="J216" i="2" s="1"/>
  <c r="D10" i="2"/>
  <c r="J215" i="2" s="1"/>
  <c r="D9" i="2"/>
  <c r="K214" i="2" s="1"/>
  <c r="D8" i="2"/>
  <c r="K213" i="2" s="1"/>
  <c r="D7" i="2"/>
  <c r="Q212" i="2" s="1"/>
  <c r="D6" i="2"/>
  <c r="Q211" i="2" s="1"/>
  <c r="D4" i="2"/>
  <c r="Q209" i="2" s="1"/>
  <c r="D5" i="2"/>
  <c r="J210" i="2" s="1"/>
  <c r="J244" i="2" l="1"/>
  <c r="J247" i="2"/>
  <c r="R237" i="2"/>
  <c r="I237" i="2"/>
  <c r="S229" i="2"/>
  <c r="E247" i="2"/>
  <c r="R247" i="2"/>
  <c r="J250" i="2"/>
  <c r="S215" i="2"/>
  <c r="R243" i="2"/>
  <c r="S228" i="2"/>
  <c r="S219" i="2"/>
  <c r="J243" i="2"/>
  <c r="E238" i="2"/>
  <c r="R246" i="2"/>
  <c r="R242" i="2"/>
  <c r="S235" i="2"/>
  <c r="S214" i="2"/>
  <c r="P236" i="2"/>
  <c r="J246" i="2"/>
  <c r="J242" i="2"/>
  <c r="H235" i="2"/>
  <c r="S223" i="2"/>
  <c r="S213" i="2"/>
  <c r="E222" i="2"/>
  <c r="R245" i="2"/>
  <c r="M239" i="2"/>
  <c r="S222" i="2"/>
  <c r="S212" i="2"/>
  <c r="S227" i="2"/>
  <c r="E214" i="2"/>
  <c r="J245" i="2"/>
  <c r="T238" i="2"/>
  <c r="S231" i="2"/>
  <c r="S221" i="2"/>
  <c r="S211" i="2"/>
  <c r="R250" i="2"/>
  <c r="R244" i="2"/>
  <c r="K238" i="2"/>
  <c r="S230" i="2"/>
  <c r="S220" i="2"/>
  <c r="S209" i="2"/>
  <c r="L218" i="2"/>
  <c r="T218" i="2"/>
  <c r="M218" i="2"/>
  <c r="U218" i="2"/>
  <c r="F218" i="2"/>
  <c r="N218" i="2"/>
  <c r="G218" i="2"/>
  <c r="O218" i="2"/>
  <c r="L226" i="2"/>
  <c r="T226" i="2"/>
  <c r="M226" i="2"/>
  <c r="U226" i="2"/>
  <c r="F226" i="2"/>
  <c r="N226" i="2"/>
  <c r="G226" i="2"/>
  <c r="O226" i="2"/>
  <c r="L234" i="2"/>
  <c r="T234" i="2"/>
  <c r="F234" i="2"/>
  <c r="N234" i="2"/>
  <c r="G234" i="2"/>
  <c r="O234" i="2"/>
  <c r="E246" i="2"/>
  <c r="E229" i="2"/>
  <c r="E221" i="2"/>
  <c r="E213" i="2"/>
  <c r="Q250" i="2"/>
  <c r="I250" i="2"/>
  <c r="Q249" i="2"/>
  <c r="I249" i="2"/>
  <c r="Q248" i="2"/>
  <c r="I248" i="2"/>
  <c r="Q247" i="2"/>
  <c r="I247" i="2"/>
  <c r="Q246" i="2"/>
  <c r="I246" i="2"/>
  <c r="Q245" i="2"/>
  <c r="I245" i="2"/>
  <c r="Q244" i="2"/>
  <c r="I244" i="2"/>
  <c r="Q243" i="2"/>
  <c r="I243" i="2"/>
  <c r="Q242" i="2"/>
  <c r="I242" i="2"/>
  <c r="Q241" i="2"/>
  <c r="N240" i="2"/>
  <c r="U239" i="2"/>
  <c r="L239" i="2"/>
  <c r="S238" i="2"/>
  <c r="J238" i="2"/>
  <c r="Q237" i="2"/>
  <c r="H237" i="2"/>
  <c r="M236" i="2"/>
  <c r="R235" i="2"/>
  <c r="U234" i="2"/>
  <c r="I234" i="2"/>
  <c r="K233" i="2"/>
  <c r="P232" i="2"/>
  <c r="R231" i="2"/>
  <c r="R230" i="2"/>
  <c r="R229" i="2"/>
  <c r="R228" i="2"/>
  <c r="R227" i="2"/>
  <c r="R226" i="2"/>
  <c r="R225" i="2"/>
  <c r="R223" i="2"/>
  <c r="R222" i="2"/>
  <c r="R221" i="2"/>
  <c r="R220" i="2"/>
  <c r="R219" i="2"/>
  <c r="R218" i="2"/>
  <c r="R216" i="2"/>
  <c r="R215" i="2"/>
  <c r="R214" i="2"/>
  <c r="R213" i="2"/>
  <c r="R212" i="2"/>
  <c r="R211" i="2"/>
  <c r="R210" i="2"/>
  <c r="R209" i="2"/>
  <c r="L224" i="2"/>
  <c r="T224" i="2"/>
  <c r="M224" i="2"/>
  <c r="U224" i="2"/>
  <c r="F224" i="2"/>
  <c r="N224" i="2"/>
  <c r="G224" i="2"/>
  <c r="O224" i="2"/>
  <c r="L217" i="2"/>
  <c r="T217" i="2"/>
  <c r="M217" i="2"/>
  <c r="U217" i="2"/>
  <c r="F217" i="2"/>
  <c r="N217" i="2"/>
  <c r="G217" i="2"/>
  <c r="O217" i="2"/>
  <c r="G241" i="2"/>
  <c r="O241" i="2"/>
  <c r="J248" i="2"/>
  <c r="R241" i="2"/>
  <c r="P240" i="2"/>
  <c r="S217" i="2"/>
  <c r="E236" i="2"/>
  <c r="E228" i="2"/>
  <c r="E220" i="2"/>
  <c r="E212" i="2"/>
  <c r="P250" i="2"/>
  <c r="H250" i="2"/>
  <c r="P249" i="2"/>
  <c r="H249" i="2"/>
  <c r="P248" i="2"/>
  <c r="H248" i="2"/>
  <c r="P247" i="2"/>
  <c r="H247" i="2"/>
  <c r="P246" i="2"/>
  <c r="H246" i="2"/>
  <c r="P245" i="2"/>
  <c r="H245" i="2"/>
  <c r="P244" i="2"/>
  <c r="H244" i="2"/>
  <c r="P243" i="2"/>
  <c r="H243" i="2"/>
  <c r="P242" i="2"/>
  <c r="H242" i="2"/>
  <c r="P241" i="2"/>
  <c r="F241" i="2"/>
  <c r="M240" i="2"/>
  <c r="T239" i="2"/>
  <c r="K239" i="2"/>
  <c r="R238" i="2"/>
  <c r="I238" i="2"/>
  <c r="P237" i="2"/>
  <c r="F237" i="2"/>
  <c r="S234" i="2"/>
  <c r="H234" i="2"/>
  <c r="J233" i="2"/>
  <c r="M232" i="2"/>
  <c r="Q231" i="2"/>
  <c r="Q230" i="2"/>
  <c r="Q229" i="2"/>
  <c r="Q226" i="2"/>
  <c r="Q225" i="2"/>
  <c r="Q224" i="2"/>
  <c r="Q223" i="2"/>
  <c r="Q222" i="2"/>
  <c r="Q221" i="2"/>
  <c r="Q218" i="2"/>
  <c r="Q217" i="2"/>
  <c r="Q216" i="2"/>
  <c r="Q215" i="2"/>
  <c r="Q214" i="2"/>
  <c r="Q213" i="2"/>
  <c r="Q210" i="2"/>
  <c r="S224" i="2"/>
  <c r="S210" i="2"/>
  <c r="L209" i="2"/>
  <c r="T209" i="2"/>
  <c r="M209" i="2"/>
  <c r="U209" i="2"/>
  <c r="F209" i="2"/>
  <c r="N209" i="2"/>
  <c r="G209" i="2"/>
  <c r="O209" i="2"/>
  <c r="L211" i="2"/>
  <c r="T211" i="2"/>
  <c r="M211" i="2"/>
  <c r="U211" i="2"/>
  <c r="F211" i="2"/>
  <c r="N211" i="2"/>
  <c r="G211" i="2"/>
  <c r="O211" i="2"/>
  <c r="L219" i="2"/>
  <c r="T219" i="2"/>
  <c r="M219" i="2"/>
  <c r="U219" i="2"/>
  <c r="F219" i="2"/>
  <c r="N219" i="2"/>
  <c r="G219" i="2"/>
  <c r="O219" i="2"/>
  <c r="L227" i="2"/>
  <c r="T227" i="2"/>
  <c r="M227" i="2"/>
  <c r="U227" i="2"/>
  <c r="F227" i="2"/>
  <c r="N227" i="2"/>
  <c r="G227" i="2"/>
  <c r="O227" i="2"/>
  <c r="L235" i="2"/>
  <c r="T235" i="2"/>
  <c r="F235" i="2"/>
  <c r="N235" i="2"/>
  <c r="G235" i="2"/>
  <c r="O235" i="2"/>
  <c r="L212" i="2"/>
  <c r="T212" i="2"/>
  <c r="M212" i="2"/>
  <c r="U212" i="2"/>
  <c r="F212" i="2"/>
  <c r="N212" i="2"/>
  <c r="G212" i="2"/>
  <c r="O212" i="2"/>
  <c r="L220" i="2"/>
  <c r="T220" i="2"/>
  <c r="M220" i="2"/>
  <c r="U220" i="2"/>
  <c r="F220" i="2"/>
  <c r="N220" i="2"/>
  <c r="G220" i="2"/>
  <c r="O220" i="2"/>
  <c r="L228" i="2"/>
  <c r="T228" i="2"/>
  <c r="M228" i="2"/>
  <c r="U228" i="2"/>
  <c r="F228" i="2"/>
  <c r="N228" i="2"/>
  <c r="G228" i="2"/>
  <c r="O228" i="2"/>
  <c r="F236" i="2"/>
  <c r="N236" i="2"/>
  <c r="G236" i="2"/>
  <c r="O236" i="2"/>
  <c r="E243" i="2"/>
  <c r="E235" i="2"/>
  <c r="E227" i="2"/>
  <c r="E219" i="2"/>
  <c r="E211" i="2"/>
  <c r="O250" i="2"/>
  <c r="G250" i="2"/>
  <c r="O249" i="2"/>
  <c r="G249" i="2"/>
  <c r="O248" i="2"/>
  <c r="G248" i="2"/>
  <c r="O247" i="2"/>
  <c r="G247" i="2"/>
  <c r="O246" i="2"/>
  <c r="G246" i="2"/>
  <c r="O245" i="2"/>
  <c r="G245" i="2"/>
  <c r="O244" i="2"/>
  <c r="G244" i="2"/>
  <c r="O243" i="2"/>
  <c r="G243" i="2"/>
  <c r="O242" i="2"/>
  <c r="G242" i="2"/>
  <c r="N241" i="2"/>
  <c r="U240" i="2"/>
  <c r="L240" i="2"/>
  <c r="S239" i="2"/>
  <c r="J239" i="2"/>
  <c r="Q238" i="2"/>
  <c r="H238" i="2"/>
  <c r="N237" i="2"/>
  <c r="U236" i="2"/>
  <c r="K236" i="2"/>
  <c r="P235" i="2"/>
  <c r="R234" i="2"/>
  <c r="U233" i="2"/>
  <c r="I233" i="2"/>
  <c r="K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E242" i="2"/>
  <c r="E234" i="2"/>
  <c r="E226" i="2"/>
  <c r="E210" i="2"/>
  <c r="N250" i="2"/>
  <c r="F250" i="2"/>
  <c r="N249" i="2"/>
  <c r="F249" i="2"/>
  <c r="N248" i="2"/>
  <c r="F248" i="2"/>
  <c r="N247" i="2"/>
  <c r="F247" i="2"/>
  <c r="N246" i="2"/>
  <c r="F246" i="2"/>
  <c r="N245" i="2"/>
  <c r="F245" i="2"/>
  <c r="N244" i="2"/>
  <c r="F244" i="2"/>
  <c r="N243" i="2"/>
  <c r="F243" i="2"/>
  <c r="N242" i="2"/>
  <c r="F242" i="2"/>
  <c r="M241" i="2"/>
  <c r="T240" i="2"/>
  <c r="K240" i="2"/>
  <c r="R239" i="2"/>
  <c r="I239" i="2"/>
  <c r="P238" i="2"/>
  <c r="T236" i="2"/>
  <c r="J236" i="2"/>
  <c r="M235" i="2"/>
  <c r="Q234" i="2"/>
  <c r="S233" i="2"/>
  <c r="H233" i="2"/>
  <c r="K231" i="2"/>
  <c r="K228" i="2"/>
  <c r="K227" i="2"/>
  <c r="K226" i="2"/>
  <c r="K224" i="2"/>
  <c r="K223" i="2"/>
  <c r="K220" i="2"/>
  <c r="K219" i="2"/>
  <c r="K218" i="2"/>
  <c r="K217" i="2"/>
  <c r="K216" i="2"/>
  <c r="K215" i="2"/>
  <c r="K212" i="2"/>
  <c r="K211" i="2"/>
  <c r="K210" i="2"/>
  <c r="K209" i="2"/>
  <c r="L232" i="2"/>
  <c r="T232" i="2"/>
  <c r="F232" i="2"/>
  <c r="N232" i="2"/>
  <c r="G232" i="2"/>
  <c r="O232" i="2"/>
  <c r="L225" i="2"/>
  <c r="T225" i="2"/>
  <c r="M225" i="2"/>
  <c r="U225" i="2"/>
  <c r="F225" i="2"/>
  <c r="N225" i="2"/>
  <c r="G225" i="2"/>
  <c r="O225" i="2"/>
  <c r="R249" i="2"/>
  <c r="R248" i="2"/>
  <c r="I241" i="2"/>
  <c r="F240" i="2"/>
  <c r="Q232" i="2"/>
  <c r="S225" i="2"/>
  <c r="S216" i="2"/>
  <c r="L213" i="2"/>
  <c r="T213" i="2"/>
  <c r="M213" i="2"/>
  <c r="U213" i="2"/>
  <c r="F213" i="2"/>
  <c r="N213" i="2"/>
  <c r="G213" i="2"/>
  <c r="O213" i="2"/>
  <c r="L221" i="2"/>
  <c r="T221" i="2"/>
  <c r="M221" i="2"/>
  <c r="U221" i="2"/>
  <c r="F221" i="2"/>
  <c r="N221" i="2"/>
  <c r="G221" i="2"/>
  <c r="O221" i="2"/>
  <c r="L229" i="2"/>
  <c r="T229" i="2"/>
  <c r="M229" i="2"/>
  <c r="U229" i="2"/>
  <c r="F229" i="2"/>
  <c r="N229" i="2"/>
  <c r="G229" i="2"/>
  <c r="O229" i="2"/>
  <c r="G237" i="2"/>
  <c r="O237" i="2"/>
  <c r="L214" i="2"/>
  <c r="T214" i="2"/>
  <c r="M214" i="2"/>
  <c r="U214" i="2"/>
  <c r="F214" i="2"/>
  <c r="N214" i="2"/>
  <c r="G214" i="2"/>
  <c r="O214" i="2"/>
  <c r="L222" i="2"/>
  <c r="T222" i="2"/>
  <c r="M222" i="2"/>
  <c r="U222" i="2"/>
  <c r="F222" i="2"/>
  <c r="N222" i="2"/>
  <c r="G222" i="2"/>
  <c r="O222" i="2"/>
  <c r="L230" i="2"/>
  <c r="T230" i="2"/>
  <c r="M230" i="2"/>
  <c r="U230" i="2"/>
  <c r="F230" i="2"/>
  <c r="N230" i="2"/>
  <c r="G230" i="2"/>
  <c r="O230" i="2"/>
  <c r="G238" i="2"/>
  <c r="O238" i="2"/>
  <c r="E241" i="2"/>
  <c r="E233" i="2"/>
  <c r="E225" i="2"/>
  <c r="E217" i="2"/>
  <c r="U250" i="2"/>
  <c r="M250" i="2"/>
  <c r="U249" i="2"/>
  <c r="M249" i="2"/>
  <c r="U248" i="2"/>
  <c r="M248" i="2"/>
  <c r="U247" i="2"/>
  <c r="M247" i="2"/>
  <c r="U246" i="2"/>
  <c r="M246" i="2"/>
  <c r="U245" i="2"/>
  <c r="M245" i="2"/>
  <c r="U244" i="2"/>
  <c r="M244" i="2"/>
  <c r="U243" i="2"/>
  <c r="M243" i="2"/>
  <c r="U242" i="2"/>
  <c r="M242" i="2"/>
  <c r="U241" i="2"/>
  <c r="L241" i="2"/>
  <c r="S240" i="2"/>
  <c r="J240" i="2"/>
  <c r="Q239" i="2"/>
  <c r="N238" i="2"/>
  <c r="U237" i="2"/>
  <c r="L237" i="2"/>
  <c r="S236" i="2"/>
  <c r="I236" i="2"/>
  <c r="K235" i="2"/>
  <c r="P234" i="2"/>
  <c r="U232" i="2"/>
  <c r="I232" i="2"/>
  <c r="J230" i="2"/>
  <c r="J229" i="2"/>
  <c r="J228" i="2"/>
  <c r="J227" i="2"/>
  <c r="J226" i="2"/>
  <c r="J225" i="2"/>
  <c r="J224" i="2"/>
  <c r="J222" i="2"/>
  <c r="J221" i="2"/>
  <c r="J220" i="2"/>
  <c r="J219" i="2"/>
  <c r="J218" i="2"/>
  <c r="J217" i="2"/>
  <c r="J214" i="2"/>
  <c r="J213" i="2"/>
  <c r="J212" i="2"/>
  <c r="J211" i="2"/>
  <c r="J209" i="2"/>
  <c r="L216" i="2"/>
  <c r="T216" i="2"/>
  <c r="M216" i="2"/>
  <c r="U216" i="2"/>
  <c r="F216" i="2"/>
  <c r="N216" i="2"/>
  <c r="G216" i="2"/>
  <c r="O216" i="2"/>
  <c r="L210" i="2"/>
  <c r="T210" i="2"/>
  <c r="M210" i="2"/>
  <c r="U210" i="2"/>
  <c r="F210" i="2"/>
  <c r="N210" i="2"/>
  <c r="G210" i="2"/>
  <c r="O210" i="2"/>
  <c r="L233" i="2"/>
  <c r="T233" i="2"/>
  <c r="F233" i="2"/>
  <c r="N233" i="2"/>
  <c r="G233" i="2"/>
  <c r="O233" i="2"/>
  <c r="J249" i="2"/>
  <c r="M233" i="2"/>
  <c r="L215" i="2"/>
  <c r="T215" i="2"/>
  <c r="M215" i="2"/>
  <c r="U215" i="2"/>
  <c r="F215" i="2"/>
  <c r="N215" i="2"/>
  <c r="G215" i="2"/>
  <c r="O215" i="2"/>
  <c r="L223" i="2"/>
  <c r="T223" i="2"/>
  <c r="M223" i="2"/>
  <c r="U223" i="2"/>
  <c r="F223" i="2"/>
  <c r="N223" i="2"/>
  <c r="G223" i="2"/>
  <c r="O223" i="2"/>
  <c r="L231" i="2"/>
  <c r="T231" i="2"/>
  <c r="M231" i="2"/>
  <c r="F231" i="2"/>
  <c r="N231" i="2"/>
  <c r="G231" i="2"/>
  <c r="O231" i="2"/>
  <c r="G239" i="2"/>
  <c r="O239" i="2"/>
  <c r="E249" i="2"/>
  <c r="E240" i="2"/>
  <c r="E232" i="2"/>
  <c r="E224" i="2"/>
  <c r="T250" i="2"/>
  <c r="L250" i="2"/>
  <c r="T249" i="2"/>
  <c r="L249" i="2"/>
  <c r="T248" i="2"/>
  <c r="L248" i="2"/>
  <c r="T247" i="2"/>
  <c r="L247" i="2"/>
  <c r="T246" i="2"/>
  <c r="L246" i="2"/>
  <c r="T245" i="2"/>
  <c r="L245" i="2"/>
  <c r="T244" i="2"/>
  <c r="L244" i="2"/>
  <c r="T243" i="2"/>
  <c r="L243" i="2"/>
  <c r="T242" i="2"/>
  <c r="L242" i="2"/>
  <c r="T241" i="2"/>
  <c r="K241" i="2"/>
  <c r="R240" i="2"/>
  <c r="P239" i="2"/>
  <c r="F239" i="2"/>
  <c r="M238" i="2"/>
  <c r="T237" i="2"/>
  <c r="K237" i="2"/>
  <c r="R236" i="2"/>
  <c r="H236" i="2"/>
  <c r="J235" i="2"/>
  <c r="M234" i="2"/>
  <c r="Q233" i="2"/>
  <c r="S232" i="2"/>
  <c r="H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G240" i="2"/>
  <c r="O240" i="2"/>
  <c r="E248" i="2"/>
  <c r="E239" i="2"/>
  <c r="E231" i="2"/>
  <c r="E215" i="2"/>
  <c r="S250" i="2"/>
  <c r="S249" i="2"/>
  <c r="S248" i="2"/>
  <c r="S247" i="2"/>
  <c r="S246" i="2"/>
  <c r="S245" i="2"/>
  <c r="K245" i="2"/>
  <c r="K267" i="2" s="1"/>
  <c r="S244" i="2"/>
  <c r="S243" i="2"/>
  <c r="S242" i="2"/>
  <c r="S241" i="2"/>
  <c r="J241" i="2"/>
  <c r="Q240" i="2"/>
  <c r="H240" i="2"/>
  <c r="N239" i="2"/>
  <c r="U238" i="2"/>
  <c r="L238" i="2"/>
  <c r="S237" i="2"/>
  <c r="J237" i="2"/>
  <c r="Q236" i="2"/>
  <c r="U235" i="2"/>
  <c r="I235" i="2"/>
  <c r="K234" i="2"/>
  <c r="P233" i="2"/>
  <c r="R232" i="2"/>
  <c r="U231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I266" i="2" l="1"/>
  <c r="P262" i="2"/>
  <c r="P271" i="2" s="1"/>
  <c r="R264" i="2"/>
  <c r="S262" i="2"/>
  <c r="S271" i="2" s="1"/>
  <c r="S265" i="2"/>
  <c r="T267" i="2"/>
  <c r="M264" i="2"/>
  <c r="M263" i="2"/>
  <c r="J263" i="2"/>
  <c r="U267" i="2"/>
  <c r="U265" i="2"/>
  <c r="K263" i="2"/>
  <c r="Q262" i="2"/>
  <c r="Q271" i="2" s="1"/>
  <c r="T264" i="2"/>
  <c r="Q264" i="2"/>
  <c r="J267" i="2"/>
  <c r="T263" i="2"/>
  <c r="S264" i="2"/>
  <c r="R266" i="2"/>
  <c r="J262" i="2"/>
  <c r="J271" i="2" s="1"/>
  <c r="R267" i="2"/>
  <c r="K262" i="2"/>
  <c r="K271" i="2" s="1"/>
  <c r="J264" i="2"/>
  <c r="K265" i="2"/>
  <c r="E265" i="2"/>
  <c r="M266" i="2"/>
  <c r="G262" i="2"/>
  <c r="G271" i="2" s="1"/>
  <c r="S263" i="2"/>
  <c r="H265" i="2"/>
  <c r="I265" i="2"/>
  <c r="L264" i="2"/>
  <c r="L263" i="2"/>
  <c r="L273" i="2" s="1"/>
  <c r="T265" i="2"/>
  <c r="G267" i="2"/>
  <c r="F262" i="2"/>
  <c r="F271" i="2" s="1"/>
  <c r="Q266" i="2"/>
  <c r="M265" i="2"/>
  <c r="K266" i="2"/>
  <c r="O264" i="2"/>
  <c r="O263" i="2"/>
  <c r="L266" i="2"/>
  <c r="L265" i="2"/>
  <c r="F267" i="2"/>
  <c r="O267" i="2"/>
  <c r="U262" i="2"/>
  <c r="U271" i="2" s="1"/>
  <c r="H267" i="2"/>
  <c r="R263" i="2"/>
  <c r="R273" i="2" s="1"/>
  <c r="I267" i="2"/>
  <c r="Q265" i="2"/>
  <c r="H264" i="2"/>
  <c r="I263" i="2"/>
  <c r="G264" i="2"/>
  <c r="J265" i="2"/>
  <c r="U266" i="2"/>
  <c r="O265" i="2"/>
  <c r="O266" i="2"/>
  <c r="N267" i="2"/>
  <c r="M262" i="2"/>
  <c r="M271" i="2" s="1"/>
  <c r="P267" i="2"/>
  <c r="R262" i="2"/>
  <c r="R271" i="2" s="1"/>
  <c r="Q267" i="2"/>
  <c r="E266" i="2"/>
  <c r="S266" i="2"/>
  <c r="S273" i="2" s="1"/>
  <c r="H262" i="2"/>
  <c r="H271" i="2" s="1"/>
  <c r="G265" i="2"/>
  <c r="P265" i="2"/>
  <c r="T262" i="2"/>
  <c r="T271" i="2" s="1"/>
  <c r="E267" i="2"/>
  <c r="N262" i="2"/>
  <c r="N271" i="2" s="1"/>
  <c r="J266" i="2"/>
  <c r="T266" i="2"/>
  <c r="I262" i="2"/>
  <c r="I271" i="2" s="1"/>
  <c r="N264" i="2"/>
  <c r="N263" i="2"/>
  <c r="G266" i="2"/>
  <c r="K264" i="2"/>
  <c r="S267" i="2"/>
  <c r="F264" i="2"/>
  <c r="F263" i="2"/>
  <c r="N265" i="2"/>
  <c r="E271" i="2"/>
  <c r="P264" i="2"/>
  <c r="N266" i="2"/>
  <c r="L262" i="2"/>
  <c r="L271" i="2" s="1"/>
  <c r="Q263" i="2"/>
  <c r="Q273" i="2" s="1"/>
  <c r="F266" i="2"/>
  <c r="I264" i="2"/>
  <c r="H263" i="2"/>
  <c r="G263" i="2"/>
  <c r="E264" i="2"/>
  <c r="L267" i="2"/>
  <c r="U264" i="2"/>
  <c r="U263" i="2"/>
  <c r="M267" i="2"/>
  <c r="F265" i="2"/>
  <c r="P263" i="2"/>
  <c r="O262" i="2"/>
  <c r="O271" i="2" s="1"/>
  <c r="P266" i="2"/>
  <c r="R265" i="2"/>
  <c r="H266" i="2"/>
  <c r="M273" i="2" l="1"/>
  <c r="O273" i="2"/>
  <c r="K273" i="2"/>
  <c r="J273" i="2"/>
  <c r="G273" i="2"/>
  <c r="N273" i="2"/>
  <c r="P273" i="2"/>
  <c r="H273" i="2"/>
  <c r="I273" i="2"/>
  <c r="T273" i="2"/>
  <c r="F273" i="2"/>
  <c r="U273" i="2"/>
</calcChain>
</file>

<file path=xl/sharedStrings.xml><?xml version="1.0" encoding="utf-8"?>
<sst xmlns="http://schemas.openxmlformats.org/spreadsheetml/2006/main" count="371" uniqueCount="48">
  <si>
    <t>Bygninger efter anvendelse, område, areal i kvadratmeter (m2) og tid</t>
  </si>
  <si>
    <t>Enhed: Antal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</si>
  <si>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</si>
  <si>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</si>
  <si>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</si>
  <si>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</si>
  <si>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</si>
  <si>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</si>
  <si>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</si>
  <si>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</si>
  <si>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</si>
  <si>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</si>
  <si>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</si>
  <si>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</si>
  <si>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</si>
  <si>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</si>
  <si>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</si>
  <si>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</si>
  <si>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</si>
  <si>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Parcel- og stuehuse</t>
  </si>
  <si>
    <t>Hele landet</t>
  </si>
  <si>
    <t>-99 m2</t>
  </si>
  <si>
    <t>100-199 m2</t>
  </si>
  <si>
    <t>200-499 m2</t>
  </si>
  <si>
    <t>500-999 m2</t>
  </si>
  <si>
    <t>1000-1999 m2</t>
  </si>
  <si>
    <t>2000-4999 m2</t>
  </si>
  <si>
    <t>5000- m2</t>
  </si>
  <si>
    <t>København og Frederiksberg</t>
  </si>
  <si>
    <t>Københavns Amt</t>
  </si>
  <si>
    <t>Dragør</t>
  </si>
  <si>
    <t>Tårnby</t>
  </si>
  <si>
    <t>Frederiksborg Amt</t>
  </si>
  <si>
    <t>Række-, kæde- og dobbelthuse</t>
  </si>
  <si>
    <t>Etageboliger</t>
  </si>
  <si>
    <t>Anden helårsbeboelse</t>
  </si>
  <si>
    <t xml:space="preserve">Areal angiver bygningens samlede areal - dvs bygningens etageareal, tagetageareal og kælderareal </t>
  </si>
  <si>
    <t>Beregning: samlede kvadratmeter</t>
  </si>
  <si>
    <t>Total, approx:</t>
  </si>
  <si>
    <t>Region Hovedstaden</t>
  </si>
  <si>
    <t>Landsdelen København By</t>
  </si>
  <si>
    <t>Bornholm eks. Christiansø</t>
  </si>
  <si>
    <t>Bornholm (excl. Christiansø)</t>
  </si>
  <si>
    <t>Bornholm</t>
  </si>
  <si>
    <t>Bornholms Amtskommune</t>
  </si>
  <si>
    <t>Gns. størrelse, 1992:</t>
  </si>
  <si>
    <t>Region H</t>
  </si>
  <si>
    <t>Resten af landet (\Region 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</si>
</sst>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wrapText="1"/>
    </xf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2"/>
  <sheetViews>
    <sheetView tabSelected="1" topLeftCell="A263" zoomScale="82" workbookViewId="0">
      <selection activeCell="E282" sqref="E282"/>
    </sheetView>
  </sheetViews>
  <sheetFormatPr baseColWidth="10" defaultColWidth="8.83203125" defaultRowHeight="15" x14ac:dyDescent="0.2"/>
  <cols>
    <col min="1" max="1" width="40.6640625" customWidth="1"/>
    <col min="2" max="2" width="28.33203125" customWidth="1"/>
    <col min="3" max="4" width="14.83203125" customWidth="1"/>
    <col min="5" max="21" width="9" customWidth="1"/>
  </cols>
  <sheetData>
    <row r="1" spans="1:21" ht="17" x14ac:dyDescent="0.2">
      <c r="A1" s="1" t="s">
        <v>0</v>
      </c>
    </row>
    <row r="2" spans="1:21" x14ac:dyDescent="0.2">
      <c r="A2" s="2" t="s">
        <v>1</v>
      </c>
    </row>
    <row r="3" spans="1:21" x14ac:dyDescent="0.2"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</row>
    <row r="4" spans="1:21" x14ac:dyDescent="0.2">
      <c r="A4" s="3" t="s">
        <v>19</v>
      </c>
      <c r="B4" s="3" t="s">
        <v>20</v>
      </c>
      <c r="C4" s="3" t="s">
        <v>21</v>
      </c>
      <c r="D4" s="3">
        <f>(99+0)/2</f>
        <v>49.5</v>
      </c>
      <c r="E4" s="4">
        <v>115948</v>
      </c>
      <c r="F4" s="4">
        <v>114759</v>
      </c>
      <c r="G4" s="4">
        <v>113413</v>
      </c>
      <c r="H4" s="4">
        <v>111268</v>
      </c>
      <c r="I4" s="4">
        <v>109913</v>
      </c>
      <c r="J4" s="4">
        <v>108120</v>
      </c>
      <c r="K4" s="4">
        <v>106139</v>
      </c>
      <c r="L4" s="4">
        <v>103294</v>
      </c>
      <c r="M4" s="4">
        <v>100958</v>
      </c>
      <c r="N4" s="4">
        <v>98618</v>
      </c>
      <c r="O4" s="4">
        <v>96330</v>
      </c>
      <c r="P4" s="4">
        <v>95064</v>
      </c>
      <c r="Q4" s="4">
        <v>93132</v>
      </c>
      <c r="R4" s="4">
        <v>91489</v>
      </c>
      <c r="S4" s="4">
        <v>89187</v>
      </c>
      <c r="T4" s="4">
        <v>87289</v>
      </c>
      <c r="U4" s="4">
        <v>85603</v>
      </c>
    </row>
    <row r="5" spans="1:21" x14ac:dyDescent="0.2">
      <c r="C5" s="3" t="s">
        <v>22</v>
      </c>
      <c r="D5" s="3">
        <f>(199+100)/2</f>
        <v>149.5</v>
      </c>
      <c r="E5" s="4">
        <v>742660</v>
      </c>
      <c r="F5" s="4">
        <v>744766</v>
      </c>
      <c r="G5" s="4">
        <v>746019</v>
      </c>
      <c r="H5" s="4">
        <v>747521</v>
      </c>
      <c r="I5" s="4">
        <v>748487</v>
      </c>
      <c r="J5" s="4">
        <v>749769</v>
      </c>
      <c r="K5" s="4">
        <v>751853</v>
      </c>
      <c r="L5" s="4">
        <v>754724</v>
      </c>
      <c r="M5" s="4">
        <v>759129</v>
      </c>
      <c r="N5" s="4">
        <v>764470</v>
      </c>
      <c r="O5" s="4">
        <v>768108</v>
      </c>
      <c r="P5" s="4">
        <v>770915</v>
      </c>
      <c r="Q5" s="4">
        <v>773166</v>
      </c>
      <c r="R5" s="4">
        <v>775081</v>
      </c>
      <c r="S5" s="4">
        <v>776936</v>
      </c>
      <c r="T5" s="4">
        <v>779455</v>
      </c>
      <c r="U5" s="4">
        <v>781214</v>
      </c>
    </row>
    <row r="6" spans="1:21" x14ac:dyDescent="0.2">
      <c r="C6" s="3" t="s">
        <v>23</v>
      </c>
      <c r="D6" s="3">
        <f>(200+499)/2</f>
        <v>349.5</v>
      </c>
      <c r="E6" s="4">
        <v>246572</v>
      </c>
      <c r="F6" s="4">
        <v>248670</v>
      </c>
      <c r="G6" s="4">
        <v>250702</v>
      </c>
      <c r="H6" s="4">
        <v>253110</v>
      </c>
      <c r="I6" s="4">
        <v>254823</v>
      </c>
      <c r="J6" s="4">
        <v>257463</v>
      </c>
      <c r="K6" s="4">
        <v>260500</v>
      </c>
      <c r="L6" s="4">
        <v>264391</v>
      </c>
      <c r="M6" s="4">
        <v>268524</v>
      </c>
      <c r="N6" s="4">
        <v>273235</v>
      </c>
      <c r="O6" s="4">
        <v>278075</v>
      </c>
      <c r="P6" s="4">
        <v>282390</v>
      </c>
      <c r="Q6" s="4">
        <v>286777</v>
      </c>
      <c r="R6" s="4">
        <v>290276</v>
      </c>
      <c r="S6" s="4">
        <v>294342</v>
      </c>
      <c r="T6" s="4">
        <v>299370</v>
      </c>
      <c r="U6" s="4">
        <v>304447</v>
      </c>
    </row>
    <row r="7" spans="1:21" x14ac:dyDescent="0.2">
      <c r="C7" s="3" t="s">
        <v>24</v>
      </c>
      <c r="D7" s="3">
        <f>(500+999)/2</f>
        <v>749.5</v>
      </c>
      <c r="E7" s="4">
        <v>3796</v>
      </c>
      <c r="F7" s="4">
        <v>3798</v>
      </c>
      <c r="G7" s="4">
        <v>3774</v>
      </c>
      <c r="H7" s="4">
        <v>3776</v>
      </c>
      <c r="I7" s="4">
        <v>3799</v>
      </c>
      <c r="J7" s="4">
        <v>3827</v>
      </c>
      <c r="K7" s="4">
        <v>3851</v>
      </c>
      <c r="L7" s="4">
        <v>3925</v>
      </c>
      <c r="M7" s="4">
        <v>3953</v>
      </c>
      <c r="N7" s="4">
        <v>3989</v>
      </c>
      <c r="O7" s="4">
        <v>4049</v>
      </c>
      <c r="P7" s="4">
        <v>4079</v>
      </c>
      <c r="Q7" s="4">
        <v>4084</v>
      </c>
      <c r="R7" s="4">
        <v>4128</v>
      </c>
      <c r="S7" s="4">
        <v>4179</v>
      </c>
      <c r="T7" s="4">
        <v>4231</v>
      </c>
      <c r="U7" s="4">
        <v>4249</v>
      </c>
    </row>
    <row r="8" spans="1:21" x14ac:dyDescent="0.2">
      <c r="C8" s="3" t="s">
        <v>25</v>
      </c>
      <c r="D8" s="3">
        <f>(1000+1999)/2</f>
        <v>1499.5</v>
      </c>
      <c r="E8" s="4">
        <v>240</v>
      </c>
      <c r="F8" s="4">
        <v>239</v>
      </c>
      <c r="G8" s="4">
        <v>242</v>
      </c>
      <c r="H8" s="4">
        <v>247</v>
      </c>
      <c r="I8" s="4">
        <v>246</v>
      </c>
      <c r="J8" s="4">
        <v>249</v>
      </c>
      <c r="K8" s="4">
        <v>252</v>
      </c>
      <c r="L8" s="4">
        <v>259</v>
      </c>
      <c r="M8" s="4">
        <v>262</v>
      </c>
      <c r="N8" s="4">
        <v>262</v>
      </c>
      <c r="O8" s="4">
        <v>264</v>
      </c>
      <c r="P8" s="4">
        <v>269</v>
      </c>
      <c r="Q8" s="4">
        <v>266</v>
      </c>
      <c r="R8" s="4">
        <v>268</v>
      </c>
      <c r="S8" s="4">
        <v>264</v>
      </c>
      <c r="T8" s="4">
        <v>267</v>
      </c>
      <c r="U8" s="4">
        <v>268</v>
      </c>
    </row>
    <row r="9" spans="1:21" x14ac:dyDescent="0.2">
      <c r="C9" s="3" t="s">
        <v>26</v>
      </c>
      <c r="D9" s="3">
        <f>(2000+4999)/2</f>
        <v>3499.5</v>
      </c>
      <c r="E9" s="4">
        <v>42</v>
      </c>
      <c r="F9" s="4">
        <v>42</v>
      </c>
      <c r="G9" s="4">
        <v>41</v>
      </c>
      <c r="H9" s="4">
        <v>41</v>
      </c>
      <c r="I9" s="4">
        <v>39</v>
      </c>
      <c r="J9" s="4">
        <v>43</v>
      </c>
      <c r="K9" s="4">
        <v>42</v>
      </c>
      <c r="L9" s="4">
        <v>41</v>
      </c>
      <c r="M9" s="4">
        <v>42</v>
      </c>
      <c r="N9" s="4">
        <v>43</v>
      </c>
      <c r="O9" s="4">
        <v>43</v>
      </c>
      <c r="P9" s="4">
        <v>44</v>
      </c>
      <c r="Q9" s="4">
        <v>44</v>
      </c>
      <c r="R9" s="4">
        <v>45</v>
      </c>
      <c r="S9" s="4">
        <v>43</v>
      </c>
      <c r="T9" s="4">
        <v>41</v>
      </c>
      <c r="U9" s="4">
        <v>41</v>
      </c>
    </row>
    <row r="10" spans="1:21" x14ac:dyDescent="0.2">
      <c r="C10" s="3" t="s">
        <v>27</v>
      </c>
      <c r="D10" s="3">
        <f>5000</f>
        <v>5000</v>
      </c>
      <c r="E10" s="4">
        <v>1</v>
      </c>
      <c r="F10" s="4">
        <v>1</v>
      </c>
      <c r="G10" s="4">
        <v>2</v>
      </c>
      <c r="H10" s="4">
        <v>2</v>
      </c>
      <c r="I10" s="4">
        <v>2</v>
      </c>
      <c r="J10" s="4">
        <v>1</v>
      </c>
      <c r="K10" s="4">
        <v>1</v>
      </c>
      <c r="L10" s="4">
        <v>1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1</v>
      </c>
      <c r="T10" s="4">
        <v>2</v>
      </c>
      <c r="U10" s="4">
        <v>2</v>
      </c>
    </row>
    <row r="11" spans="1:21" x14ac:dyDescent="0.2">
      <c r="B11" s="3" t="s">
        <v>28</v>
      </c>
      <c r="C11" s="3" t="s">
        <v>21</v>
      </c>
      <c r="D11" s="3">
        <f>(99+0)/2</f>
        <v>49.5</v>
      </c>
      <c r="E11" s="4">
        <v>2265</v>
      </c>
      <c r="F11" s="4">
        <v>2274</v>
      </c>
      <c r="G11" s="4">
        <v>2249</v>
      </c>
      <c r="H11" s="4">
        <v>2228</v>
      </c>
      <c r="I11" s="4">
        <v>2233</v>
      </c>
      <c r="J11" s="4">
        <v>2217</v>
      </c>
      <c r="K11" s="4">
        <v>2162</v>
      </c>
      <c r="L11" s="4">
        <v>2134</v>
      </c>
      <c r="M11" s="4">
        <v>2108</v>
      </c>
      <c r="N11" s="4">
        <v>2063</v>
      </c>
      <c r="O11" s="4">
        <v>2043</v>
      </c>
      <c r="P11" s="4">
        <v>2003</v>
      </c>
      <c r="Q11" s="4">
        <v>1971</v>
      </c>
      <c r="R11" s="4">
        <v>1937</v>
      </c>
      <c r="S11" s="4">
        <v>1901</v>
      </c>
      <c r="T11" s="4">
        <v>1873</v>
      </c>
      <c r="U11" s="4">
        <v>1960</v>
      </c>
    </row>
    <row r="12" spans="1:21" x14ac:dyDescent="0.2">
      <c r="C12" s="3" t="s">
        <v>22</v>
      </c>
      <c r="D12" s="3">
        <f>(199+100)/2</f>
        <v>149.5</v>
      </c>
      <c r="E12" s="4">
        <v>7401</v>
      </c>
      <c r="F12" s="4">
        <v>7402</v>
      </c>
      <c r="G12" s="4">
        <v>7424</v>
      </c>
      <c r="H12" s="4">
        <v>7459</v>
      </c>
      <c r="I12" s="4">
        <v>7460</v>
      </c>
      <c r="J12" s="4">
        <v>7492</v>
      </c>
      <c r="K12" s="4">
        <v>7490</v>
      </c>
      <c r="L12" s="4">
        <v>7497</v>
      </c>
      <c r="M12" s="4">
        <v>7520</v>
      </c>
      <c r="N12" s="4">
        <v>7553</v>
      </c>
      <c r="O12" s="4">
        <v>7558</v>
      </c>
      <c r="P12" s="4">
        <v>7595</v>
      </c>
      <c r="Q12" s="4">
        <v>7619</v>
      </c>
      <c r="R12" s="4">
        <v>7620</v>
      </c>
      <c r="S12" s="4">
        <v>7638</v>
      </c>
      <c r="T12" s="4">
        <v>7631</v>
      </c>
      <c r="U12" s="4">
        <v>7668</v>
      </c>
    </row>
    <row r="13" spans="1:21" x14ac:dyDescent="0.2">
      <c r="C13" s="3" t="s">
        <v>23</v>
      </c>
      <c r="D13" s="3">
        <f>(200+499)/2</f>
        <v>349.5</v>
      </c>
      <c r="E13" s="4">
        <v>5299</v>
      </c>
      <c r="F13" s="4">
        <v>5314</v>
      </c>
      <c r="G13" s="4">
        <v>5341</v>
      </c>
      <c r="H13" s="4">
        <v>5365</v>
      </c>
      <c r="I13" s="4">
        <v>5405</v>
      </c>
      <c r="J13" s="4">
        <v>5468</v>
      </c>
      <c r="K13" s="4">
        <v>5555</v>
      </c>
      <c r="L13" s="4">
        <v>5599</v>
      </c>
      <c r="M13" s="4">
        <v>5669</v>
      </c>
      <c r="N13" s="4">
        <v>5728</v>
      </c>
      <c r="O13" s="4">
        <v>5782</v>
      </c>
      <c r="P13" s="4">
        <v>5834</v>
      </c>
      <c r="Q13" s="4">
        <v>5866</v>
      </c>
      <c r="R13" s="4">
        <v>5890</v>
      </c>
      <c r="S13" s="4">
        <v>5915</v>
      </c>
      <c r="T13" s="4">
        <v>5940</v>
      </c>
      <c r="U13" s="4">
        <v>5968</v>
      </c>
    </row>
    <row r="14" spans="1:21" x14ac:dyDescent="0.2">
      <c r="C14" s="3" t="s">
        <v>24</v>
      </c>
      <c r="D14" s="3">
        <f>(500+999)/2</f>
        <v>749.5</v>
      </c>
      <c r="E14" s="4">
        <v>119</v>
      </c>
      <c r="F14" s="4">
        <v>120</v>
      </c>
      <c r="G14" s="4">
        <v>117</v>
      </c>
      <c r="H14" s="4">
        <v>122</v>
      </c>
      <c r="I14" s="4">
        <v>121</v>
      </c>
      <c r="J14" s="4">
        <v>118</v>
      </c>
      <c r="K14" s="4">
        <v>117</v>
      </c>
      <c r="L14" s="4">
        <v>113</v>
      </c>
      <c r="M14" s="4">
        <v>111</v>
      </c>
      <c r="N14" s="4">
        <v>111</v>
      </c>
      <c r="O14" s="4">
        <v>111</v>
      </c>
      <c r="P14" s="4">
        <v>109</v>
      </c>
      <c r="Q14" s="4">
        <v>104</v>
      </c>
      <c r="R14" s="4">
        <v>103</v>
      </c>
      <c r="S14" s="4">
        <v>102</v>
      </c>
      <c r="T14" s="4">
        <v>102</v>
      </c>
      <c r="U14" s="4">
        <v>104</v>
      </c>
    </row>
    <row r="15" spans="1:21" x14ac:dyDescent="0.2">
      <c r="C15" s="3" t="s">
        <v>25</v>
      </c>
      <c r="D15" s="3">
        <f>(1000+1999)/2</f>
        <v>1499.5</v>
      </c>
      <c r="E15" s="4">
        <v>4</v>
      </c>
      <c r="F15" s="4">
        <v>4</v>
      </c>
      <c r="G15" s="4">
        <v>4</v>
      </c>
      <c r="H15" s="4">
        <v>4</v>
      </c>
      <c r="I15" s="4">
        <v>4</v>
      </c>
      <c r="J15" s="4">
        <v>4</v>
      </c>
      <c r="K15" s="4">
        <v>4</v>
      </c>
      <c r="L15" s="4">
        <v>5</v>
      </c>
      <c r="M15" s="4">
        <v>5</v>
      </c>
      <c r="N15" s="4">
        <v>5</v>
      </c>
      <c r="O15" s="4">
        <v>4</v>
      </c>
      <c r="P15" s="4">
        <v>4</v>
      </c>
      <c r="Q15" s="4">
        <v>4</v>
      </c>
      <c r="R15" s="4">
        <v>4</v>
      </c>
      <c r="S15" s="4">
        <v>4</v>
      </c>
      <c r="T15" s="4">
        <v>5</v>
      </c>
      <c r="U15" s="4">
        <v>5</v>
      </c>
    </row>
    <row r="16" spans="1:21" x14ac:dyDescent="0.2">
      <c r="C16" s="3" t="s">
        <v>26</v>
      </c>
      <c r="D16" s="3">
        <f>(2000+4999)/2</f>
        <v>3499.5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</row>
    <row r="17" spans="2:21" x14ac:dyDescent="0.2">
      <c r="C17" s="3" t="s">
        <v>27</v>
      </c>
      <c r="D17" s="3">
        <f>5000</f>
        <v>5000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</row>
    <row r="18" spans="2:21" x14ac:dyDescent="0.2">
      <c r="B18" s="3" t="s">
        <v>29</v>
      </c>
      <c r="C18" s="3" t="s">
        <v>21</v>
      </c>
      <c r="D18" s="3">
        <f>(99+0)/2</f>
        <v>49.5</v>
      </c>
      <c r="E18" s="4">
        <v>6593</v>
      </c>
      <c r="F18" s="4">
        <v>6607</v>
      </c>
      <c r="G18" s="4">
        <v>6528</v>
      </c>
      <c r="H18" s="4">
        <v>6427</v>
      </c>
      <c r="I18" s="4">
        <v>6277</v>
      </c>
      <c r="J18" s="4">
        <v>6175</v>
      </c>
      <c r="K18" s="4">
        <v>6062</v>
      </c>
      <c r="L18" s="4">
        <v>5925</v>
      </c>
      <c r="M18" s="4">
        <v>5750</v>
      </c>
      <c r="N18" s="4">
        <v>5607</v>
      </c>
      <c r="O18" s="4">
        <v>5460</v>
      </c>
      <c r="P18" s="4">
        <v>5332</v>
      </c>
      <c r="Q18" s="4">
        <v>5198</v>
      </c>
      <c r="R18" s="4">
        <v>5067</v>
      </c>
      <c r="S18" s="4">
        <v>4947</v>
      </c>
      <c r="T18" s="4">
        <v>4809</v>
      </c>
      <c r="U18" s="4">
        <v>4666</v>
      </c>
    </row>
    <row r="19" spans="2:21" x14ac:dyDescent="0.2">
      <c r="C19" s="3" t="s">
        <v>22</v>
      </c>
      <c r="D19" s="3">
        <f>(199+100)/2</f>
        <v>149.5</v>
      </c>
      <c r="E19" s="4">
        <v>51826</v>
      </c>
      <c r="F19" s="4">
        <v>51916</v>
      </c>
      <c r="G19" s="4">
        <v>52007</v>
      </c>
      <c r="H19" s="4">
        <v>52093</v>
      </c>
      <c r="I19" s="4">
        <v>52080</v>
      </c>
      <c r="J19" s="4">
        <v>52142</v>
      </c>
      <c r="K19" s="4">
        <v>52246</v>
      </c>
      <c r="L19" s="4">
        <v>52445</v>
      </c>
      <c r="M19" s="4">
        <v>52711</v>
      </c>
      <c r="N19" s="4">
        <v>52999</v>
      </c>
      <c r="O19" s="4">
        <v>53039</v>
      </c>
      <c r="P19" s="4">
        <v>53103</v>
      </c>
      <c r="Q19" s="4">
        <v>53286</v>
      </c>
      <c r="R19" s="4">
        <v>53425</v>
      </c>
      <c r="S19" s="4">
        <v>53541</v>
      </c>
      <c r="T19" s="4">
        <v>53663</v>
      </c>
      <c r="U19" s="4">
        <v>53712</v>
      </c>
    </row>
    <row r="20" spans="2:21" x14ac:dyDescent="0.2">
      <c r="C20" s="3" t="s">
        <v>23</v>
      </c>
      <c r="D20" s="3">
        <f>(200+499)/2</f>
        <v>349.5</v>
      </c>
      <c r="E20" s="4">
        <v>22101</v>
      </c>
      <c r="F20" s="4">
        <v>22183</v>
      </c>
      <c r="G20" s="4">
        <v>22247</v>
      </c>
      <c r="H20" s="4">
        <v>22360</v>
      </c>
      <c r="I20" s="4">
        <v>22461</v>
      </c>
      <c r="J20" s="4">
        <v>22567</v>
      </c>
      <c r="K20" s="4">
        <v>22762</v>
      </c>
      <c r="L20" s="4">
        <v>22944</v>
      </c>
      <c r="M20" s="4">
        <v>23121</v>
      </c>
      <c r="N20" s="4">
        <v>23342</v>
      </c>
      <c r="O20" s="4">
        <v>23552</v>
      </c>
      <c r="P20" s="4">
        <v>23776</v>
      </c>
      <c r="Q20" s="4">
        <v>23948</v>
      </c>
      <c r="R20" s="4">
        <v>24122</v>
      </c>
      <c r="S20" s="4">
        <v>24338</v>
      </c>
      <c r="T20" s="4">
        <v>24591</v>
      </c>
      <c r="U20" s="4">
        <v>24783</v>
      </c>
    </row>
    <row r="21" spans="2:21" x14ac:dyDescent="0.2">
      <c r="C21" s="3" t="s">
        <v>24</v>
      </c>
      <c r="D21" s="3">
        <f>(500+999)/2</f>
        <v>749.5</v>
      </c>
      <c r="E21" s="4">
        <v>349</v>
      </c>
      <c r="F21" s="4">
        <v>348</v>
      </c>
      <c r="G21" s="4">
        <v>349</v>
      </c>
      <c r="H21" s="4">
        <v>352</v>
      </c>
      <c r="I21" s="4">
        <v>365</v>
      </c>
      <c r="J21" s="4">
        <v>364</v>
      </c>
      <c r="K21" s="4">
        <v>356</v>
      </c>
      <c r="L21" s="4">
        <v>383</v>
      </c>
      <c r="M21" s="4">
        <v>382</v>
      </c>
      <c r="N21" s="4">
        <v>381</v>
      </c>
      <c r="O21" s="4">
        <v>386</v>
      </c>
      <c r="P21" s="4">
        <v>388</v>
      </c>
      <c r="Q21" s="4">
        <v>388</v>
      </c>
      <c r="R21" s="4">
        <v>392</v>
      </c>
      <c r="S21" s="4">
        <v>394</v>
      </c>
      <c r="T21" s="4">
        <v>398</v>
      </c>
      <c r="U21" s="4">
        <v>397</v>
      </c>
    </row>
    <row r="22" spans="2:21" x14ac:dyDescent="0.2">
      <c r="C22" s="3" t="s">
        <v>25</v>
      </c>
      <c r="D22" s="3">
        <f>(1000+1999)/2</f>
        <v>1499.5</v>
      </c>
      <c r="E22" s="4">
        <v>9</v>
      </c>
      <c r="F22" s="4">
        <v>9</v>
      </c>
      <c r="G22" s="4">
        <v>9</v>
      </c>
      <c r="H22" s="4">
        <v>9</v>
      </c>
      <c r="I22" s="4">
        <v>8</v>
      </c>
      <c r="J22" s="4">
        <v>8</v>
      </c>
      <c r="K22" s="4">
        <v>9</v>
      </c>
      <c r="L22" s="4">
        <v>14</v>
      </c>
      <c r="M22" s="4">
        <v>14</v>
      </c>
      <c r="N22" s="4">
        <v>14</v>
      </c>
      <c r="O22" s="4">
        <v>14</v>
      </c>
      <c r="P22" s="4">
        <v>14</v>
      </c>
      <c r="Q22" s="4">
        <v>13</v>
      </c>
      <c r="R22" s="4">
        <v>13</v>
      </c>
      <c r="S22" s="4">
        <v>13</v>
      </c>
      <c r="T22" s="4">
        <v>13</v>
      </c>
      <c r="U22" s="4">
        <v>13</v>
      </c>
    </row>
    <row r="23" spans="2:21" x14ac:dyDescent="0.2">
      <c r="C23" s="3" t="s">
        <v>26</v>
      </c>
      <c r="D23" s="3">
        <f>(2000+4999)/2</f>
        <v>3499.5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1</v>
      </c>
      <c r="Q23" s="4">
        <v>0</v>
      </c>
      <c r="R23" s="4">
        <v>1</v>
      </c>
      <c r="S23" s="4">
        <v>1</v>
      </c>
      <c r="T23" s="4">
        <v>0</v>
      </c>
      <c r="U23" s="4">
        <v>0</v>
      </c>
    </row>
    <row r="24" spans="2:21" x14ac:dyDescent="0.2">
      <c r="C24" s="3" t="s">
        <v>27</v>
      </c>
      <c r="D24" s="3">
        <f>5000</f>
        <v>5000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</row>
    <row r="25" spans="2:21" x14ac:dyDescent="0.2">
      <c r="B25" s="3" t="s">
        <v>30</v>
      </c>
      <c r="C25" s="3" t="s">
        <v>21</v>
      </c>
      <c r="D25" s="3">
        <f>(99+0)/2</f>
        <v>49.5</v>
      </c>
      <c r="E25" s="4">
        <v>304</v>
      </c>
      <c r="F25" s="4">
        <v>306</v>
      </c>
      <c r="G25" s="4">
        <v>304</v>
      </c>
      <c r="H25" s="4">
        <v>305</v>
      </c>
      <c r="I25" s="4">
        <v>300</v>
      </c>
      <c r="J25" s="4">
        <v>298</v>
      </c>
      <c r="K25" s="4">
        <v>291</v>
      </c>
      <c r="L25" s="4">
        <v>280</v>
      </c>
      <c r="M25" s="4">
        <v>271</v>
      </c>
      <c r="N25" s="4">
        <v>267</v>
      </c>
      <c r="O25" s="4">
        <v>255</v>
      </c>
      <c r="P25" s="4">
        <v>256</v>
      </c>
      <c r="Q25" s="4">
        <v>248</v>
      </c>
      <c r="R25" s="4">
        <v>241</v>
      </c>
      <c r="S25" s="4">
        <v>232</v>
      </c>
      <c r="T25" s="4">
        <v>218</v>
      </c>
      <c r="U25" s="4">
        <v>210</v>
      </c>
    </row>
    <row r="26" spans="2:21" x14ac:dyDescent="0.2">
      <c r="C26" s="3" t="s">
        <v>22</v>
      </c>
      <c r="D26" s="3">
        <f>(199+100)/2</f>
        <v>149.5</v>
      </c>
      <c r="E26" s="4">
        <v>2327</v>
      </c>
      <c r="F26" s="4">
        <v>2340</v>
      </c>
      <c r="G26" s="4">
        <v>2350</v>
      </c>
      <c r="H26" s="4">
        <v>2348</v>
      </c>
      <c r="I26" s="4">
        <v>2358</v>
      </c>
      <c r="J26" s="4">
        <v>2359</v>
      </c>
      <c r="K26" s="4">
        <v>2364</v>
      </c>
      <c r="L26" s="4">
        <v>2374</v>
      </c>
      <c r="M26" s="4">
        <v>2402</v>
      </c>
      <c r="N26" s="4">
        <v>2413</v>
      </c>
      <c r="O26" s="4">
        <v>2428</v>
      </c>
      <c r="P26" s="4">
        <v>2430</v>
      </c>
      <c r="Q26" s="4">
        <v>2440</v>
      </c>
      <c r="R26" s="4">
        <v>2448</v>
      </c>
      <c r="S26" s="4">
        <v>2452</v>
      </c>
      <c r="T26" s="4">
        <v>2467</v>
      </c>
      <c r="U26" s="4">
        <v>2468</v>
      </c>
    </row>
    <row r="27" spans="2:21" x14ac:dyDescent="0.2">
      <c r="C27" s="3" t="s">
        <v>23</v>
      </c>
      <c r="D27" s="3">
        <f>(200+499)/2</f>
        <v>349.5</v>
      </c>
      <c r="E27" s="4">
        <v>364</v>
      </c>
      <c r="F27" s="4">
        <v>365</v>
      </c>
      <c r="G27" s="4">
        <v>366</v>
      </c>
      <c r="H27" s="4">
        <v>375</v>
      </c>
      <c r="I27" s="4">
        <v>383</v>
      </c>
      <c r="J27" s="4">
        <v>384</v>
      </c>
      <c r="K27" s="4">
        <v>390</v>
      </c>
      <c r="L27" s="4">
        <v>407</v>
      </c>
      <c r="M27" s="4">
        <v>403</v>
      </c>
      <c r="N27" s="4">
        <v>410</v>
      </c>
      <c r="O27" s="4">
        <v>416</v>
      </c>
      <c r="P27" s="4">
        <v>418</v>
      </c>
      <c r="Q27" s="4">
        <v>430</v>
      </c>
      <c r="R27" s="4">
        <v>435</v>
      </c>
      <c r="S27" s="4">
        <v>443</v>
      </c>
      <c r="T27" s="4">
        <v>455</v>
      </c>
      <c r="U27" s="4">
        <v>468</v>
      </c>
    </row>
    <row r="28" spans="2:21" x14ac:dyDescent="0.2">
      <c r="C28" s="3" t="s">
        <v>24</v>
      </c>
      <c r="D28" s="3">
        <f>(500+999)/2</f>
        <v>749.5</v>
      </c>
      <c r="E28" s="4">
        <v>2</v>
      </c>
      <c r="F28" s="4">
        <v>2</v>
      </c>
      <c r="G28" s="4">
        <v>2</v>
      </c>
      <c r="H28" s="4">
        <v>2</v>
      </c>
      <c r="I28" s="4">
        <v>2</v>
      </c>
      <c r="J28" s="4">
        <v>2</v>
      </c>
      <c r="K28" s="4">
        <v>3</v>
      </c>
      <c r="L28" s="4">
        <v>3</v>
      </c>
      <c r="M28" s="4">
        <v>3</v>
      </c>
      <c r="N28" s="4">
        <v>3</v>
      </c>
      <c r="O28" s="4">
        <v>3</v>
      </c>
      <c r="P28" s="4">
        <v>3</v>
      </c>
      <c r="Q28" s="4">
        <v>3</v>
      </c>
      <c r="R28" s="4">
        <v>3</v>
      </c>
      <c r="S28" s="4">
        <v>3</v>
      </c>
      <c r="T28" s="4">
        <v>4</v>
      </c>
      <c r="U28" s="4">
        <v>4</v>
      </c>
    </row>
    <row r="29" spans="2:21" x14ac:dyDescent="0.2">
      <c r="C29" s="3" t="s">
        <v>25</v>
      </c>
      <c r="D29" s="3">
        <f>(1000+1999)/2</f>
        <v>1499.5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</row>
    <row r="30" spans="2:21" x14ac:dyDescent="0.2">
      <c r="C30" s="3" t="s">
        <v>26</v>
      </c>
      <c r="D30" s="3">
        <f>(2000+4999)/2</f>
        <v>3499.5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</row>
    <row r="31" spans="2:21" x14ac:dyDescent="0.2">
      <c r="C31" s="3" t="s">
        <v>27</v>
      </c>
      <c r="D31" s="3">
        <f>5000</f>
        <v>5000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</row>
    <row r="32" spans="2:21" x14ac:dyDescent="0.2">
      <c r="B32" s="3" t="s">
        <v>31</v>
      </c>
      <c r="C32" s="3" t="s">
        <v>21</v>
      </c>
      <c r="D32" s="3">
        <f>(99+0)/2</f>
        <v>49.5</v>
      </c>
      <c r="E32" s="4">
        <v>1202</v>
      </c>
      <c r="F32" s="4">
        <v>1181</v>
      </c>
      <c r="G32" s="4">
        <v>1169</v>
      </c>
      <c r="H32" s="4">
        <v>1150</v>
      </c>
      <c r="I32" s="4">
        <v>1099</v>
      </c>
      <c r="J32" s="4">
        <v>1082</v>
      </c>
      <c r="K32" s="4">
        <v>1067</v>
      </c>
      <c r="L32" s="4">
        <v>1041</v>
      </c>
      <c r="M32" s="4">
        <v>1009</v>
      </c>
      <c r="N32" s="4">
        <v>990</v>
      </c>
      <c r="O32" s="4">
        <v>967</v>
      </c>
      <c r="P32" s="4">
        <v>944</v>
      </c>
      <c r="Q32" s="4">
        <v>912</v>
      </c>
      <c r="R32" s="4">
        <v>895</v>
      </c>
      <c r="S32" s="4">
        <v>866</v>
      </c>
      <c r="T32" s="4">
        <v>841</v>
      </c>
      <c r="U32" s="4">
        <v>803</v>
      </c>
    </row>
    <row r="33" spans="2:21" x14ac:dyDescent="0.2">
      <c r="C33" s="3" t="s">
        <v>22</v>
      </c>
      <c r="D33" s="3">
        <f>(199+100)/2</f>
        <v>149.5</v>
      </c>
      <c r="E33" s="4">
        <v>5310</v>
      </c>
      <c r="F33" s="4">
        <v>5325</v>
      </c>
      <c r="G33" s="4">
        <v>5345</v>
      </c>
      <c r="H33" s="4">
        <v>5366</v>
      </c>
      <c r="I33" s="4">
        <v>5293</v>
      </c>
      <c r="J33" s="4">
        <v>5274</v>
      </c>
      <c r="K33" s="4">
        <v>5284</v>
      </c>
      <c r="L33" s="4">
        <v>5314</v>
      </c>
      <c r="M33" s="4">
        <v>5342</v>
      </c>
      <c r="N33" s="4">
        <v>5377</v>
      </c>
      <c r="O33" s="4">
        <v>5405</v>
      </c>
      <c r="P33" s="4">
        <v>5432</v>
      </c>
      <c r="Q33" s="4">
        <v>5464</v>
      </c>
      <c r="R33" s="4">
        <v>5491</v>
      </c>
      <c r="S33" s="4">
        <v>5516</v>
      </c>
      <c r="T33" s="4">
        <v>5543</v>
      </c>
      <c r="U33" s="4">
        <v>5577</v>
      </c>
    </row>
    <row r="34" spans="2:21" x14ac:dyDescent="0.2">
      <c r="C34" s="3" t="s">
        <v>23</v>
      </c>
      <c r="D34" s="3">
        <f>(200+499)/2</f>
        <v>349.5</v>
      </c>
      <c r="E34" s="4">
        <v>626</v>
      </c>
      <c r="F34" s="4">
        <v>631</v>
      </c>
      <c r="G34" s="4">
        <v>636</v>
      </c>
      <c r="H34" s="4">
        <v>644</v>
      </c>
      <c r="I34" s="4">
        <v>624</v>
      </c>
      <c r="J34" s="4">
        <v>618</v>
      </c>
      <c r="K34" s="4">
        <v>626</v>
      </c>
      <c r="L34" s="4">
        <v>628</v>
      </c>
      <c r="M34" s="4">
        <v>636</v>
      </c>
      <c r="N34" s="4">
        <v>638</v>
      </c>
      <c r="O34" s="4">
        <v>634</v>
      </c>
      <c r="P34" s="4">
        <v>642</v>
      </c>
      <c r="Q34" s="4">
        <v>656</v>
      </c>
      <c r="R34" s="4">
        <v>663</v>
      </c>
      <c r="S34" s="4">
        <v>683</v>
      </c>
      <c r="T34" s="4">
        <v>692</v>
      </c>
      <c r="U34" s="4">
        <v>706</v>
      </c>
    </row>
    <row r="35" spans="2:21" x14ac:dyDescent="0.2">
      <c r="C35" s="3" t="s">
        <v>24</v>
      </c>
      <c r="D35" s="3">
        <f>(500+999)/2</f>
        <v>749.5</v>
      </c>
      <c r="E35" s="4">
        <v>1</v>
      </c>
      <c r="F35" s="4">
        <v>1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1</v>
      </c>
    </row>
    <row r="36" spans="2:21" x14ac:dyDescent="0.2">
      <c r="C36" s="3" t="s">
        <v>25</v>
      </c>
      <c r="D36" s="3">
        <f>(1000+1999)/2</f>
        <v>1499.5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</row>
    <row r="37" spans="2:21" x14ac:dyDescent="0.2">
      <c r="C37" s="3" t="s">
        <v>26</v>
      </c>
      <c r="D37" s="3">
        <f>(2000+4999)/2</f>
        <v>3499.5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</row>
    <row r="38" spans="2:21" x14ac:dyDescent="0.2">
      <c r="C38" s="3" t="s">
        <v>27</v>
      </c>
      <c r="D38" s="3">
        <f>5000</f>
        <v>5000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</row>
    <row r="39" spans="2:21" x14ac:dyDescent="0.2">
      <c r="B39" s="3" t="s">
        <v>32</v>
      </c>
      <c r="C39" s="3" t="s">
        <v>21</v>
      </c>
      <c r="D39" s="3">
        <f>(99+0)/2</f>
        <v>49.5</v>
      </c>
      <c r="E39" s="4">
        <v>6796</v>
      </c>
      <c r="F39" s="4">
        <v>6755</v>
      </c>
      <c r="G39" s="4">
        <v>6751</v>
      </c>
      <c r="H39" s="4">
        <v>6744</v>
      </c>
      <c r="I39" s="4">
        <v>6627</v>
      </c>
      <c r="J39" s="4">
        <v>6553</v>
      </c>
      <c r="K39" s="4">
        <v>6630</v>
      </c>
      <c r="L39" s="4">
        <v>6483</v>
      </c>
      <c r="M39" s="4">
        <v>6379</v>
      </c>
      <c r="N39" s="4">
        <v>6280</v>
      </c>
      <c r="O39" s="4">
        <v>6103</v>
      </c>
      <c r="P39" s="4">
        <v>6790</v>
      </c>
      <c r="Q39" s="4">
        <v>6783</v>
      </c>
      <c r="R39" s="4">
        <v>6555</v>
      </c>
      <c r="S39" s="4">
        <v>5693</v>
      </c>
      <c r="T39" s="4">
        <v>5422</v>
      </c>
      <c r="U39" s="4">
        <v>5279</v>
      </c>
    </row>
    <row r="40" spans="2:21" x14ac:dyDescent="0.2">
      <c r="C40" s="3" t="s">
        <v>22</v>
      </c>
      <c r="D40" s="3">
        <f>(199+100)/2</f>
        <v>149.5</v>
      </c>
      <c r="E40" s="4">
        <v>49487</v>
      </c>
      <c r="F40" s="4">
        <v>49700</v>
      </c>
      <c r="G40" s="4">
        <v>49829</v>
      </c>
      <c r="H40" s="4">
        <v>49942</v>
      </c>
      <c r="I40" s="4">
        <v>50039</v>
      </c>
      <c r="J40" s="4">
        <v>50146</v>
      </c>
      <c r="K40" s="4">
        <v>50391</v>
      </c>
      <c r="L40" s="4">
        <v>50628</v>
      </c>
      <c r="M40" s="4">
        <v>51031</v>
      </c>
      <c r="N40" s="4">
        <v>51503</v>
      </c>
      <c r="O40" s="4">
        <v>51949</v>
      </c>
      <c r="P40" s="4">
        <v>52468</v>
      </c>
      <c r="Q40" s="4">
        <v>52786</v>
      </c>
      <c r="R40" s="4">
        <v>53142</v>
      </c>
      <c r="S40" s="4">
        <v>53239</v>
      </c>
      <c r="T40" s="4">
        <v>53531</v>
      </c>
      <c r="U40" s="4">
        <v>53800</v>
      </c>
    </row>
    <row r="41" spans="2:21" x14ac:dyDescent="0.2">
      <c r="C41" s="3" t="s">
        <v>23</v>
      </c>
      <c r="D41" s="3">
        <f>(200+499)/2</f>
        <v>349.5</v>
      </c>
      <c r="E41" s="4">
        <v>15532</v>
      </c>
      <c r="F41" s="4">
        <v>15638</v>
      </c>
      <c r="G41" s="4">
        <v>15714</v>
      </c>
      <c r="H41" s="4">
        <v>15820</v>
      </c>
      <c r="I41" s="4">
        <v>15945</v>
      </c>
      <c r="J41" s="4">
        <v>16058</v>
      </c>
      <c r="K41" s="4">
        <v>16202</v>
      </c>
      <c r="L41" s="4">
        <v>16393</v>
      </c>
      <c r="M41" s="4">
        <v>16593</v>
      </c>
      <c r="N41" s="4">
        <v>16751</v>
      </c>
      <c r="O41" s="4">
        <v>16948</v>
      </c>
      <c r="P41" s="4">
        <v>17176</v>
      </c>
      <c r="Q41" s="4">
        <v>17434</v>
      </c>
      <c r="R41" s="4">
        <v>17652</v>
      </c>
      <c r="S41" s="4">
        <v>17851</v>
      </c>
      <c r="T41" s="4">
        <v>18089</v>
      </c>
      <c r="U41" s="4">
        <v>18385</v>
      </c>
    </row>
    <row r="42" spans="2:21" x14ac:dyDescent="0.2">
      <c r="C42" s="3" t="s">
        <v>24</v>
      </c>
      <c r="D42" s="3">
        <f>(500+999)/2</f>
        <v>749.5</v>
      </c>
      <c r="E42" s="4">
        <v>242</v>
      </c>
      <c r="F42" s="4">
        <v>241</v>
      </c>
      <c r="G42" s="4">
        <v>239</v>
      </c>
      <c r="H42" s="4">
        <v>234</v>
      </c>
      <c r="I42" s="4">
        <v>235</v>
      </c>
      <c r="J42" s="4">
        <v>239</v>
      </c>
      <c r="K42" s="4">
        <v>240</v>
      </c>
      <c r="L42" s="4">
        <v>241</v>
      </c>
      <c r="M42" s="4">
        <v>241</v>
      </c>
      <c r="N42" s="4">
        <v>239</v>
      </c>
      <c r="O42" s="4">
        <v>241</v>
      </c>
      <c r="P42" s="4">
        <v>243</v>
      </c>
      <c r="Q42" s="4">
        <v>243</v>
      </c>
      <c r="R42" s="4">
        <v>246</v>
      </c>
      <c r="S42" s="4">
        <v>252</v>
      </c>
      <c r="T42" s="4">
        <v>252</v>
      </c>
      <c r="U42" s="4">
        <v>253</v>
      </c>
    </row>
    <row r="43" spans="2:21" x14ac:dyDescent="0.2">
      <c r="C43" s="3" t="s">
        <v>25</v>
      </c>
      <c r="D43" s="3">
        <f>(1000+1999)/2</f>
        <v>1499.5</v>
      </c>
      <c r="E43" s="4">
        <v>12</v>
      </c>
      <c r="F43" s="4">
        <v>12</v>
      </c>
      <c r="G43" s="4">
        <v>12</v>
      </c>
      <c r="H43" s="4">
        <v>13</v>
      </c>
      <c r="I43" s="4">
        <v>12</v>
      </c>
      <c r="J43" s="4">
        <v>12</v>
      </c>
      <c r="K43" s="4">
        <v>12</v>
      </c>
      <c r="L43" s="4">
        <v>13</v>
      </c>
      <c r="M43" s="4">
        <v>14</v>
      </c>
      <c r="N43" s="4">
        <v>12</v>
      </c>
      <c r="O43" s="4">
        <v>12</v>
      </c>
      <c r="P43" s="4">
        <v>11</v>
      </c>
      <c r="Q43" s="4">
        <v>12</v>
      </c>
      <c r="R43" s="4">
        <v>12</v>
      </c>
      <c r="S43" s="4">
        <v>11</v>
      </c>
      <c r="T43" s="4">
        <v>11</v>
      </c>
      <c r="U43" s="4">
        <v>11</v>
      </c>
    </row>
    <row r="44" spans="2:21" x14ac:dyDescent="0.2">
      <c r="C44" s="3" t="s">
        <v>26</v>
      </c>
      <c r="D44" s="3">
        <f>(2000+4999)/2</f>
        <v>3499.5</v>
      </c>
      <c r="E44" s="4">
        <v>1</v>
      </c>
      <c r="F44" s="4">
        <v>1</v>
      </c>
      <c r="G44" s="4">
        <v>1</v>
      </c>
      <c r="H44" s="4">
        <v>1</v>
      </c>
      <c r="I44" s="4">
        <v>1</v>
      </c>
      <c r="J44" s="4">
        <v>1</v>
      </c>
      <c r="K44" s="4">
        <v>1</v>
      </c>
      <c r="L44" s="4">
        <v>0</v>
      </c>
      <c r="M44" s="4">
        <v>1</v>
      </c>
      <c r="N44" s="4">
        <v>2</v>
      </c>
      <c r="O44" s="4">
        <v>2</v>
      </c>
      <c r="P44" s="4">
        <v>2</v>
      </c>
      <c r="Q44" s="4">
        <v>2</v>
      </c>
      <c r="R44" s="4">
        <v>2</v>
      </c>
      <c r="S44" s="4">
        <v>3</v>
      </c>
      <c r="T44" s="4">
        <v>3</v>
      </c>
      <c r="U44" s="4">
        <v>3</v>
      </c>
    </row>
    <row r="45" spans="2:21" x14ac:dyDescent="0.2">
      <c r="C45" s="3" t="s">
        <v>27</v>
      </c>
      <c r="D45" s="3">
        <f>5000</f>
        <v>5000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</row>
    <row r="46" spans="2:21" x14ac:dyDescent="0.2">
      <c r="B46" s="7" t="s">
        <v>41</v>
      </c>
      <c r="C46" s="3" t="s">
        <v>21</v>
      </c>
      <c r="D46" s="3">
        <f>(99+0)/2</f>
        <v>49.5</v>
      </c>
      <c r="E46" s="4">
        <v>1551</v>
      </c>
      <c r="F46" s="4">
        <v>1559</v>
      </c>
      <c r="G46" s="4">
        <v>1583</v>
      </c>
      <c r="H46" s="4">
        <v>1574</v>
      </c>
      <c r="I46" s="4">
        <v>1566</v>
      </c>
      <c r="J46" s="4">
        <v>1545</v>
      </c>
      <c r="K46" s="4">
        <v>1521</v>
      </c>
      <c r="L46" s="4">
        <v>1491</v>
      </c>
      <c r="M46" s="4">
        <v>1460</v>
      </c>
      <c r="N46" s="4">
        <v>1440</v>
      </c>
      <c r="O46" s="4">
        <v>1420</v>
      </c>
      <c r="P46" s="4">
        <v>1416</v>
      </c>
      <c r="Q46" s="4">
        <v>1400</v>
      </c>
      <c r="R46" s="4">
        <v>1398</v>
      </c>
      <c r="S46" s="4">
        <v>1398</v>
      </c>
      <c r="T46" s="4">
        <v>1391</v>
      </c>
      <c r="U46" s="4">
        <v>1365</v>
      </c>
    </row>
    <row r="47" spans="2:21" x14ac:dyDescent="0.2">
      <c r="C47" s="3" t="s">
        <v>22</v>
      </c>
      <c r="D47" s="3">
        <f>(199+100)/2</f>
        <v>149.5</v>
      </c>
      <c r="E47" s="4">
        <v>8722</v>
      </c>
      <c r="F47" s="4">
        <v>8709</v>
      </c>
      <c r="G47" s="4">
        <v>8678</v>
      </c>
      <c r="H47" s="4">
        <v>8671</v>
      </c>
      <c r="I47" s="4">
        <v>8651</v>
      </c>
      <c r="J47" s="4">
        <v>8637</v>
      </c>
      <c r="K47" s="4">
        <v>8636</v>
      </c>
      <c r="L47" s="4">
        <v>8648</v>
      </c>
      <c r="M47" s="4">
        <v>8644</v>
      </c>
      <c r="N47" s="4">
        <v>8656</v>
      </c>
      <c r="O47" s="4">
        <v>8640</v>
      </c>
      <c r="P47" s="4">
        <v>8623</v>
      </c>
      <c r="Q47" s="4">
        <v>8620</v>
      </c>
      <c r="R47" s="4">
        <v>8610</v>
      </c>
      <c r="S47" s="4">
        <v>8596</v>
      </c>
      <c r="T47" s="4">
        <v>8577</v>
      </c>
      <c r="U47" s="4">
        <v>8557</v>
      </c>
    </row>
    <row r="48" spans="2:21" x14ac:dyDescent="0.2">
      <c r="C48" s="3" t="s">
        <v>23</v>
      </c>
      <c r="D48" s="3">
        <f>(200+499)/2</f>
        <v>349.5</v>
      </c>
      <c r="E48" s="4">
        <v>3206</v>
      </c>
      <c r="F48" s="4">
        <v>3218</v>
      </c>
      <c r="G48" s="4">
        <v>3227</v>
      </c>
      <c r="H48" s="4">
        <v>3228</v>
      </c>
      <c r="I48" s="4">
        <v>3240</v>
      </c>
      <c r="J48" s="4">
        <v>3239</v>
      </c>
      <c r="K48" s="4">
        <v>3251</v>
      </c>
      <c r="L48" s="4">
        <v>3268</v>
      </c>
      <c r="M48" s="4">
        <v>3300</v>
      </c>
      <c r="N48" s="4">
        <v>3315</v>
      </c>
      <c r="O48" s="4">
        <v>3351</v>
      </c>
      <c r="P48" s="4">
        <v>3379</v>
      </c>
      <c r="Q48" s="4">
        <v>3405</v>
      </c>
      <c r="R48" s="4">
        <v>3430</v>
      </c>
      <c r="S48" s="4">
        <v>3461</v>
      </c>
      <c r="T48" s="4">
        <v>3493</v>
      </c>
      <c r="U48" s="4">
        <v>3502</v>
      </c>
    </row>
    <row r="49" spans="1:21" x14ac:dyDescent="0.2">
      <c r="C49" s="3" t="s">
        <v>24</v>
      </c>
      <c r="D49" s="3">
        <f>(500+999)/2</f>
        <v>749.5</v>
      </c>
      <c r="E49" s="4">
        <v>85</v>
      </c>
      <c r="F49" s="4">
        <v>85</v>
      </c>
      <c r="G49" s="4">
        <v>83</v>
      </c>
      <c r="H49" s="4">
        <v>83</v>
      </c>
      <c r="I49" s="4">
        <v>84</v>
      </c>
      <c r="J49" s="4">
        <v>83</v>
      </c>
      <c r="K49" s="4">
        <v>82</v>
      </c>
      <c r="L49" s="4">
        <v>83</v>
      </c>
      <c r="M49" s="4">
        <v>83</v>
      </c>
      <c r="N49" s="4">
        <v>82</v>
      </c>
      <c r="O49" s="4">
        <v>82</v>
      </c>
      <c r="P49" s="4">
        <v>82</v>
      </c>
      <c r="Q49" s="4">
        <v>82</v>
      </c>
      <c r="R49" s="4">
        <v>79</v>
      </c>
      <c r="S49" s="4">
        <v>80</v>
      </c>
      <c r="T49" s="4">
        <v>79</v>
      </c>
      <c r="U49" s="4">
        <v>80</v>
      </c>
    </row>
    <row r="50" spans="1:21" x14ac:dyDescent="0.2">
      <c r="C50" s="3" t="s">
        <v>25</v>
      </c>
      <c r="D50" s="3">
        <f>(1000+1999)/2</f>
        <v>1499.5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</row>
    <row r="51" spans="1:21" x14ac:dyDescent="0.2">
      <c r="C51" s="3" t="s">
        <v>26</v>
      </c>
      <c r="D51" s="3">
        <f>(2000+4999)/2</f>
        <v>3499.5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</row>
    <row r="52" spans="1:21" x14ac:dyDescent="0.2">
      <c r="C52" s="3" t="s">
        <v>27</v>
      </c>
      <c r="D52" s="3">
        <f>5000</f>
        <v>5000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</row>
    <row r="53" spans="1:21" x14ac:dyDescent="0.2"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x14ac:dyDescent="0.2">
      <c r="A54" s="3" t="s">
        <v>33</v>
      </c>
      <c r="B54" s="3" t="s">
        <v>20</v>
      </c>
      <c r="C54" s="3" t="s">
        <v>21</v>
      </c>
      <c r="D54" s="3"/>
      <c r="E54" s="4">
        <v>51431</v>
      </c>
      <c r="F54" s="4">
        <v>53707</v>
      </c>
      <c r="G54" s="4">
        <v>54748</v>
      </c>
      <c r="H54" s="4">
        <v>55264</v>
      </c>
      <c r="I54" s="4">
        <v>55745</v>
      </c>
      <c r="J54" s="4">
        <v>56136</v>
      </c>
      <c r="K54" s="4">
        <v>56303</v>
      </c>
      <c r="L54" s="4">
        <v>56379</v>
      </c>
      <c r="M54" s="4">
        <v>56411</v>
      </c>
      <c r="N54" s="4">
        <v>56390</v>
      </c>
      <c r="O54" s="4">
        <v>56806</v>
      </c>
      <c r="P54" s="4">
        <v>57608</v>
      </c>
      <c r="Q54" s="4">
        <v>58227</v>
      </c>
      <c r="R54" s="4">
        <v>58837</v>
      </c>
      <c r="S54" s="4">
        <v>59368</v>
      </c>
      <c r="T54" s="4">
        <v>59989</v>
      </c>
      <c r="U54" s="4">
        <v>60429</v>
      </c>
    </row>
    <row r="55" spans="1:21" x14ac:dyDescent="0.2">
      <c r="C55" s="3" t="s">
        <v>22</v>
      </c>
      <c r="D55" s="3"/>
      <c r="E55" s="4">
        <v>93810</v>
      </c>
      <c r="F55" s="4">
        <v>96262</v>
      </c>
      <c r="G55" s="4">
        <v>97602</v>
      </c>
      <c r="H55" s="4">
        <v>98737</v>
      </c>
      <c r="I55" s="4">
        <v>99659</v>
      </c>
      <c r="J55" s="4">
        <v>100416</v>
      </c>
      <c r="K55" s="4">
        <v>101297</v>
      </c>
      <c r="L55" s="4">
        <v>102039</v>
      </c>
      <c r="M55" s="4">
        <v>102844</v>
      </c>
      <c r="N55" s="4">
        <v>103369</v>
      </c>
      <c r="O55" s="4">
        <v>104712</v>
      </c>
      <c r="P55" s="4">
        <v>106298</v>
      </c>
      <c r="Q55" s="4">
        <v>107995</v>
      </c>
      <c r="R55" s="4">
        <v>109649</v>
      </c>
      <c r="S55" s="4">
        <v>111528</v>
      </c>
      <c r="T55" s="4">
        <v>113896</v>
      </c>
      <c r="U55" s="4">
        <v>115789</v>
      </c>
    </row>
    <row r="56" spans="1:21" x14ac:dyDescent="0.2">
      <c r="C56" s="3" t="s">
        <v>23</v>
      </c>
      <c r="D56" s="3"/>
      <c r="E56" s="4">
        <v>21189</v>
      </c>
      <c r="F56" s="4">
        <v>22656</v>
      </c>
      <c r="G56" s="4">
        <v>23488</v>
      </c>
      <c r="H56" s="4">
        <v>24403</v>
      </c>
      <c r="I56" s="4">
        <v>25015</v>
      </c>
      <c r="J56" s="4">
        <v>25441</v>
      </c>
      <c r="K56" s="4">
        <v>25788</v>
      </c>
      <c r="L56" s="4">
        <v>26097</v>
      </c>
      <c r="M56" s="4">
        <v>26543</v>
      </c>
      <c r="N56" s="4">
        <v>26920</v>
      </c>
      <c r="O56" s="4">
        <v>27292</v>
      </c>
      <c r="P56" s="4">
        <v>27722</v>
      </c>
      <c r="Q56" s="4">
        <v>28166</v>
      </c>
      <c r="R56" s="4">
        <v>28705</v>
      </c>
      <c r="S56" s="4">
        <v>29735</v>
      </c>
      <c r="T56" s="4">
        <v>30982</v>
      </c>
      <c r="U56" s="4">
        <v>31843</v>
      </c>
    </row>
    <row r="57" spans="1:21" x14ac:dyDescent="0.2">
      <c r="C57" s="3" t="s">
        <v>24</v>
      </c>
      <c r="D57" s="3"/>
      <c r="E57" s="4">
        <v>3708</v>
      </c>
      <c r="F57" s="4">
        <v>3891</v>
      </c>
      <c r="G57" s="4">
        <v>4055</v>
      </c>
      <c r="H57" s="4">
        <v>4276</v>
      </c>
      <c r="I57" s="4">
        <v>4307</v>
      </c>
      <c r="J57" s="4">
        <v>4376</v>
      </c>
      <c r="K57" s="4">
        <v>4458</v>
      </c>
      <c r="L57" s="4">
        <v>4517</v>
      </c>
      <c r="M57" s="4">
        <v>4581</v>
      </c>
      <c r="N57" s="4">
        <v>4655</v>
      </c>
      <c r="O57" s="4">
        <v>4706</v>
      </c>
      <c r="P57" s="4">
        <v>4780</v>
      </c>
      <c r="Q57" s="4">
        <v>4839</v>
      </c>
      <c r="R57" s="4">
        <v>4927</v>
      </c>
      <c r="S57" s="4">
        <v>5089</v>
      </c>
      <c r="T57" s="4">
        <v>5282</v>
      </c>
      <c r="U57" s="4">
        <v>5396</v>
      </c>
    </row>
    <row r="58" spans="1:21" x14ac:dyDescent="0.2">
      <c r="C58" s="3" t="s">
        <v>25</v>
      </c>
      <c r="D58" s="3"/>
      <c r="E58" s="4">
        <v>895</v>
      </c>
      <c r="F58" s="4">
        <v>902</v>
      </c>
      <c r="G58" s="4">
        <v>919</v>
      </c>
      <c r="H58" s="4">
        <v>955</v>
      </c>
      <c r="I58" s="4">
        <v>970</v>
      </c>
      <c r="J58" s="4">
        <v>988</v>
      </c>
      <c r="K58" s="4">
        <v>998</v>
      </c>
      <c r="L58" s="4">
        <v>1000</v>
      </c>
      <c r="M58" s="4">
        <v>995</v>
      </c>
      <c r="N58" s="4">
        <v>1007</v>
      </c>
      <c r="O58" s="4">
        <v>1028</v>
      </c>
      <c r="P58" s="4">
        <v>1054</v>
      </c>
      <c r="Q58" s="4">
        <v>1079</v>
      </c>
      <c r="R58" s="4">
        <v>1107</v>
      </c>
      <c r="S58" s="4">
        <v>1129</v>
      </c>
      <c r="T58" s="4">
        <v>1167</v>
      </c>
      <c r="U58" s="4">
        <v>1190</v>
      </c>
    </row>
    <row r="59" spans="1:21" x14ac:dyDescent="0.2">
      <c r="C59" s="3" t="s">
        <v>26</v>
      </c>
      <c r="D59" s="3"/>
      <c r="E59" s="4">
        <v>145</v>
      </c>
      <c r="F59" s="4">
        <v>146</v>
      </c>
      <c r="G59" s="4">
        <v>149</v>
      </c>
      <c r="H59" s="4">
        <v>145</v>
      </c>
      <c r="I59" s="4">
        <v>144</v>
      </c>
      <c r="J59" s="4">
        <v>145</v>
      </c>
      <c r="K59" s="4">
        <v>147</v>
      </c>
      <c r="L59" s="4">
        <v>148</v>
      </c>
      <c r="M59" s="4">
        <v>150</v>
      </c>
      <c r="N59" s="4">
        <v>150</v>
      </c>
      <c r="O59" s="4">
        <v>150</v>
      </c>
      <c r="P59" s="4">
        <v>165</v>
      </c>
      <c r="Q59" s="4">
        <v>172</v>
      </c>
      <c r="R59" s="4">
        <v>176</v>
      </c>
      <c r="S59" s="4">
        <v>188</v>
      </c>
      <c r="T59" s="4">
        <v>199</v>
      </c>
      <c r="U59" s="4">
        <v>204</v>
      </c>
    </row>
    <row r="60" spans="1:21" x14ac:dyDescent="0.2">
      <c r="C60" s="3" t="s">
        <v>27</v>
      </c>
      <c r="D60" s="3"/>
      <c r="E60" s="4">
        <v>20</v>
      </c>
      <c r="F60" s="4">
        <v>20</v>
      </c>
      <c r="G60" s="4">
        <v>16</v>
      </c>
      <c r="H60" s="4">
        <v>16</v>
      </c>
      <c r="I60" s="4">
        <v>16</v>
      </c>
      <c r="J60" s="4">
        <v>15</v>
      </c>
      <c r="K60" s="4">
        <v>14</v>
      </c>
      <c r="L60" s="4">
        <v>14</v>
      </c>
      <c r="M60" s="4">
        <v>13</v>
      </c>
      <c r="N60" s="4">
        <v>14</v>
      </c>
      <c r="O60" s="4">
        <v>16</v>
      </c>
      <c r="P60" s="4">
        <v>18</v>
      </c>
      <c r="Q60" s="4">
        <v>18</v>
      </c>
      <c r="R60" s="4">
        <v>22</v>
      </c>
      <c r="S60" s="4">
        <v>25</v>
      </c>
      <c r="T60" s="4">
        <v>26</v>
      </c>
      <c r="U60" s="4">
        <v>28</v>
      </c>
    </row>
    <row r="61" spans="1:21" x14ac:dyDescent="0.2">
      <c r="B61" s="3" t="s">
        <v>28</v>
      </c>
      <c r="C61" s="3" t="s">
        <v>21</v>
      </c>
      <c r="D61" s="3"/>
      <c r="E61" s="4">
        <v>381</v>
      </c>
      <c r="F61" s="4">
        <v>380</v>
      </c>
      <c r="G61" s="4">
        <v>363</v>
      </c>
      <c r="H61" s="4">
        <v>364</v>
      </c>
      <c r="I61" s="4">
        <v>364</v>
      </c>
      <c r="J61" s="4">
        <v>364</v>
      </c>
      <c r="K61" s="4">
        <v>311</v>
      </c>
      <c r="L61" s="4">
        <v>319</v>
      </c>
      <c r="M61" s="4">
        <v>317</v>
      </c>
      <c r="N61" s="4">
        <v>314</v>
      </c>
      <c r="O61" s="4">
        <v>320</v>
      </c>
      <c r="P61" s="4">
        <v>321</v>
      </c>
      <c r="Q61" s="4">
        <v>321</v>
      </c>
      <c r="R61" s="4">
        <v>322</v>
      </c>
      <c r="S61" s="4">
        <v>321</v>
      </c>
      <c r="T61" s="4">
        <v>321</v>
      </c>
      <c r="U61" s="4">
        <v>292</v>
      </c>
    </row>
    <row r="62" spans="1:21" x14ac:dyDescent="0.2">
      <c r="C62" s="3" t="s">
        <v>22</v>
      </c>
      <c r="D62" s="3"/>
      <c r="E62" s="4">
        <v>2782</v>
      </c>
      <c r="F62" s="4">
        <v>2804</v>
      </c>
      <c r="G62" s="4">
        <v>2832</v>
      </c>
      <c r="H62" s="4">
        <v>2868</v>
      </c>
      <c r="I62" s="4">
        <v>2892</v>
      </c>
      <c r="J62" s="4">
        <v>2925</v>
      </c>
      <c r="K62" s="4">
        <v>3087</v>
      </c>
      <c r="L62" s="4">
        <v>3135</v>
      </c>
      <c r="M62" s="4">
        <v>3168</v>
      </c>
      <c r="N62" s="4">
        <v>3201</v>
      </c>
      <c r="O62" s="4">
        <v>3231</v>
      </c>
      <c r="P62" s="4">
        <v>3263</v>
      </c>
      <c r="Q62" s="4">
        <v>3294</v>
      </c>
      <c r="R62" s="4">
        <v>3310</v>
      </c>
      <c r="S62" s="4">
        <v>3361</v>
      </c>
      <c r="T62" s="4">
        <v>3345</v>
      </c>
      <c r="U62" s="4">
        <v>3367</v>
      </c>
    </row>
    <row r="63" spans="1:21" x14ac:dyDescent="0.2">
      <c r="C63" s="3" t="s">
        <v>23</v>
      </c>
      <c r="D63" s="3"/>
      <c r="E63" s="4">
        <v>962</v>
      </c>
      <c r="F63" s="4">
        <v>967</v>
      </c>
      <c r="G63" s="4">
        <v>977</v>
      </c>
      <c r="H63" s="4">
        <v>981</v>
      </c>
      <c r="I63" s="4">
        <v>989</v>
      </c>
      <c r="J63" s="4">
        <v>1001</v>
      </c>
      <c r="K63" s="4">
        <v>1024</v>
      </c>
      <c r="L63" s="4">
        <v>1041</v>
      </c>
      <c r="M63" s="4">
        <v>1065</v>
      </c>
      <c r="N63" s="4">
        <v>1083</v>
      </c>
      <c r="O63" s="4">
        <v>1094</v>
      </c>
      <c r="P63" s="4">
        <v>1110</v>
      </c>
      <c r="Q63" s="4">
        <v>1115</v>
      </c>
      <c r="R63" s="4">
        <v>1122</v>
      </c>
      <c r="S63" s="4">
        <v>1127</v>
      </c>
      <c r="T63" s="4">
        <v>1143</v>
      </c>
      <c r="U63" s="4">
        <v>1165</v>
      </c>
    </row>
    <row r="64" spans="1:21" x14ac:dyDescent="0.2">
      <c r="C64" s="3" t="s">
        <v>24</v>
      </c>
      <c r="D64" s="3"/>
      <c r="E64" s="4">
        <v>84</v>
      </c>
      <c r="F64" s="4">
        <v>80</v>
      </c>
      <c r="G64" s="4">
        <v>81</v>
      </c>
      <c r="H64" s="4">
        <v>74</v>
      </c>
      <c r="I64" s="4">
        <v>76</v>
      </c>
      <c r="J64" s="4">
        <v>81</v>
      </c>
      <c r="K64" s="4">
        <v>91</v>
      </c>
      <c r="L64" s="4">
        <v>91</v>
      </c>
      <c r="M64" s="4">
        <v>91</v>
      </c>
      <c r="N64" s="4">
        <v>91</v>
      </c>
      <c r="O64" s="4">
        <v>90</v>
      </c>
      <c r="P64" s="4">
        <v>91</v>
      </c>
      <c r="Q64" s="4">
        <v>92</v>
      </c>
      <c r="R64" s="4">
        <v>92</v>
      </c>
      <c r="S64" s="4">
        <v>92</v>
      </c>
      <c r="T64" s="4">
        <v>92</v>
      </c>
      <c r="U64" s="4">
        <v>94</v>
      </c>
    </row>
    <row r="65" spans="2:21" x14ac:dyDescent="0.2">
      <c r="C65" s="3" t="s">
        <v>25</v>
      </c>
      <c r="D65" s="3"/>
      <c r="E65" s="4">
        <v>79</v>
      </c>
      <c r="F65" s="4">
        <v>80</v>
      </c>
      <c r="G65" s="4">
        <v>80</v>
      </c>
      <c r="H65" s="4">
        <v>88</v>
      </c>
      <c r="I65" s="4">
        <v>88</v>
      </c>
      <c r="J65" s="4">
        <v>87</v>
      </c>
      <c r="K65" s="4">
        <v>87</v>
      </c>
      <c r="L65" s="4">
        <v>87</v>
      </c>
      <c r="M65" s="4">
        <v>86</v>
      </c>
      <c r="N65" s="4">
        <v>86</v>
      </c>
      <c r="O65" s="4">
        <v>86</v>
      </c>
      <c r="P65" s="4">
        <v>85</v>
      </c>
      <c r="Q65" s="4">
        <v>85</v>
      </c>
      <c r="R65" s="4">
        <v>86</v>
      </c>
      <c r="S65" s="4">
        <v>85</v>
      </c>
      <c r="T65" s="4">
        <v>88</v>
      </c>
      <c r="U65" s="4">
        <v>88</v>
      </c>
    </row>
    <row r="66" spans="2:21" x14ac:dyDescent="0.2">
      <c r="C66" s="3" t="s">
        <v>26</v>
      </c>
      <c r="D66" s="3"/>
      <c r="E66" s="4">
        <v>15</v>
      </c>
      <c r="F66" s="4">
        <v>15</v>
      </c>
      <c r="G66" s="4">
        <v>15</v>
      </c>
      <c r="H66" s="4">
        <v>15</v>
      </c>
      <c r="I66" s="4">
        <v>15</v>
      </c>
      <c r="J66" s="4">
        <v>15</v>
      </c>
      <c r="K66" s="4">
        <v>15</v>
      </c>
      <c r="L66" s="4">
        <v>15</v>
      </c>
      <c r="M66" s="4">
        <v>15</v>
      </c>
      <c r="N66" s="4">
        <v>15</v>
      </c>
      <c r="O66" s="4">
        <v>15</v>
      </c>
      <c r="P66" s="4">
        <v>16</v>
      </c>
      <c r="Q66" s="4">
        <v>15</v>
      </c>
      <c r="R66" s="4">
        <v>15</v>
      </c>
      <c r="S66" s="4">
        <v>15</v>
      </c>
      <c r="T66" s="4">
        <v>15</v>
      </c>
      <c r="U66" s="4">
        <v>15</v>
      </c>
    </row>
    <row r="67" spans="2:21" x14ac:dyDescent="0.2">
      <c r="C67" s="3" t="s">
        <v>27</v>
      </c>
      <c r="D67" s="3"/>
      <c r="E67" s="4">
        <v>2</v>
      </c>
      <c r="F67" s="4">
        <v>2</v>
      </c>
      <c r="G67" s="4">
        <v>2</v>
      </c>
      <c r="H67" s="4">
        <v>2</v>
      </c>
      <c r="I67" s="4">
        <v>2</v>
      </c>
      <c r="J67" s="4">
        <v>2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2</v>
      </c>
      <c r="T67" s="4">
        <v>2</v>
      </c>
      <c r="U67" s="4">
        <v>2</v>
      </c>
    </row>
    <row r="68" spans="2:21" x14ac:dyDescent="0.2">
      <c r="B68" s="3" t="s">
        <v>29</v>
      </c>
      <c r="C68" s="3" t="s">
        <v>21</v>
      </c>
      <c r="D68" s="3"/>
      <c r="E68" s="4">
        <v>5655</v>
      </c>
      <c r="F68" s="4">
        <v>5750</v>
      </c>
      <c r="G68" s="4">
        <v>5783</v>
      </c>
      <c r="H68" s="4">
        <v>5665</v>
      </c>
      <c r="I68" s="4">
        <v>5657</v>
      </c>
      <c r="J68" s="4">
        <v>5790</v>
      </c>
      <c r="K68" s="4">
        <v>5935</v>
      </c>
      <c r="L68" s="4">
        <v>5974</v>
      </c>
      <c r="M68" s="4">
        <v>5908</v>
      </c>
      <c r="N68" s="4">
        <v>5911</v>
      </c>
      <c r="O68" s="4">
        <v>5900</v>
      </c>
      <c r="P68" s="4">
        <v>5904</v>
      </c>
      <c r="Q68" s="4">
        <v>5890</v>
      </c>
      <c r="R68" s="4">
        <v>5892</v>
      </c>
      <c r="S68" s="4">
        <v>5922</v>
      </c>
      <c r="T68" s="4">
        <v>5927</v>
      </c>
      <c r="U68" s="4">
        <v>5948</v>
      </c>
    </row>
    <row r="69" spans="2:21" x14ac:dyDescent="0.2">
      <c r="C69" s="3" t="s">
        <v>22</v>
      </c>
      <c r="D69" s="3"/>
      <c r="E69" s="4">
        <v>22508</v>
      </c>
      <c r="F69" s="4">
        <v>22625</v>
      </c>
      <c r="G69" s="4">
        <v>22679</v>
      </c>
      <c r="H69" s="4">
        <v>22712</v>
      </c>
      <c r="I69" s="4">
        <v>22744</v>
      </c>
      <c r="J69" s="4">
        <v>22839</v>
      </c>
      <c r="K69" s="4">
        <v>22932</v>
      </c>
      <c r="L69" s="4">
        <v>23011</v>
      </c>
      <c r="M69" s="4">
        <v>23114</v>
      </c>
      <c r="N69" s="4">
        <v>23175</v>
      </c>
      <c r="O69" s="4">
        <v>23322</v>
      </c>
      <c r="P69" s="4">
        <v>23455</v>
      </c>
      <c r="Q69" s="4">
        <v>23499</v>
      </c>
      <c r="R69" s="4">
        <v>23599</v>
      </c>
      <c r="S69" s="4">
        <v>23756</v>
      </c>
      <c r="T69" s="4">
        <v>23946</v>
      </c>
      <c r="U69" s="4">
        <v>24093</v>
      </c>
    </row>
    <row r="70" spans="2:21" x14ac:dyDescent="0.2">
      <c r="C70" s="3" t="s">
        <v>23</v>
      </c>
      <c r="D70" s="3"/>
      <c r="E70" s="4">
        <v>3404</v>
      </c>
      <c r="F70" s="4">
        <v>3541</v>
      </c>
      <c r="G70" s="4">
        <v>3627</v>
      </c>
      <c r="H70" s="4">
        <v>3708</v>
      </c>
      <c r="I70" s="4">
        <v>3740</v>
      </c>
      <c r="J70" s="4">
        <v>3760</v>
      </c>
      <c r="K70" s="4">
        <v>3789</v>
      </c>
      <c r="L70" s="4">
        <v>3820</v>
      </c>
      <c r="M70" s="4">
        <v>3832</v>
      </c>
      <c r="N70" s="4">
        <v>3854</v>
      </c>
      <c r="O70" s="4">
        <v>3881</v>
      </c>
      <c r="P70" s="4">
        <v>3911</v>
      </c>
      <c r="Q70" s="4">
        <v>3953</v>
      </c>
      <c r="R70" s="4">
        <v>3973</v>
      </c>
      <c r="S70" s="4">
        <v>4005</v>
      </c>
      <c r="T70" s="4">
        <v>4036</v>
      </c>
      <c r="U70" s="4">
        <v>4074</v>
      </c>
    </row>
    <row r="71" spans="2:21" x14ac:dyDescent="0.2">
      <c r="C71" s="3" t="s">
        <v>24</v>
      </c>
      <c r="D71" s="3"/>
      <c r="E71" s="4">
        <v>1041</v>
      </c>
      <c r="F71" s="4">
        <v>1064</v>
      </c>
      <c r="G71" s="4">
        <v>1070</v>
      </c>
      <c r="H71" s="4">
        <v>1111</v>
      </c>
      <c r="I71" s="4">
        <v>1120</v>
      </c>
      <c r="J71" s="4">
        <v>1111</v>
      </c>
      <c r="K71" s="4">
        <v>1122</v>
      </c>
      <c r="L71" s="4">
        <v>1121</v>
      </c>
      <c r="M71" s="4">
        <v>1122</v>
      </c>
      <c r="N71" s="4">
        <v>1127</v>
      </c>
      <c r="O71" s="4">
        <v>1123</v>
      </c>
      <c r="P71" s="4">
        <v>1121</v>
      </c>
      <c r="Q71" s="4">
        <v>1128</v>
      </c>
      <c r="R71" s="4">
        <v>1130</v>
      </c>
      <c r="S71" s="4">
        <v>1144</v>
      </c>
      <c r="T71" s="4">
        <v>1169</v>
      </c>
      <c r="U71" s="4">
        <v>1181</v>
      </c>
    </row>
    <row r="72" spans="2:21" x14ac:dyDescent="0.2">
      <c r="C72" s="3" t="s">
        <v>25</v>
      </c>
      <c r="D72" s="3"/>
      <c r="E72" s="4">
        <v>266</v>
      </c>
      <c r="F72" s="4">
        <v>260</v>
      </c>
      <c r="G72" s="4">
        <v>260</v>
      </c>
      <c r="H72" s="4">
        <v>266</v>
      </c>
      <c r="I72" s="4">
        <v>272</v>
      </c>
      <c r="J72" s="4">
        <v>277</v>
      </c>
      <c r="K72" s="4">
        <v>277</v>
      </c>
      <c r="L72" s="4">
        <v>279</v>
      </c>
      <c r="M72" s="4">
        <v>279</v>
      </c>
      <c r="N72" s="4">
        <v>280</v>
      </c>
      <c r="O72" s="4">
        <v>281</v>
      </c>
      <c r="P72" s="4">
        <v>279</v>
      </c>
      <c r="Q72" s="4">
        <v>279</v>
      </c>
      <c r="R72" s="4">
        <v>276</v>
      </c>
      <c r="S72" s="4">
        <v>277</v>
      </c>
      <c r="T72" s="4">
        <v>279</v>
      </c>
      <c r="U72" s="4">
        <v>285</v>
      </c>
    </row>
    <row r="73" spans="2:21" x14ac:dyDescent="0.2">
      <c r="C73" s="3" t="s">
        <v>26</v>
      </c>
      <c r="D73" s="3"/>
      <c r="E73" s="4">
        <v>41</v>
      </c>
      <c r="F73" s="4">
        <v>37</v>
      </c>
      <c r="G73" s="4">
        <v>39</v>
      </c>
      <c r="H73" s="4">
        <v>39</v>
      </c>
      <c r="I73" s="4">
        <v>40</v>
      </c>
      <c r="J73" s="4">
        <v>40</v>
      </c>
      <c r="K73" s="4">
        <v>40</v>
      </c>
      <c r="L73" s="4">
        <v>40</v>
      </c>
      <c r="M73" s="4">
        <v>40</v>
      </c>
      <c r="N73" s="4">
        <v>40</v>
      </c>
      <c r="O73" s="4">
        <v>40</v>
      </c>
      <c r="P73" s="4">
        <v>40</v>
      </c>
      <c r="Q73" s="4">
        <v>40</v>
      </c>
      <c r="R73" s="4">
        <v>39</v>
      </c>
      <c r="S73" s="4">
        <v>40</v>
      </c>
      <c r="T73" s="4">
        <v>41</v>
      </c>
      <c r="U73" s="4">
        <v>42</v>
      </c>
    </row>
    <row r="74" spans="2:21" x14ac:dyDescent="0.2">
      <c r="C74" s="3" t="s">
        <v>27</v>
      </c>
      <c r="D74" s="3"/>
      <c r="E74" s="4">
        <v>1</v>
      </c>
      <c r="F74" s="4">
        <v>1</v>
      </c>
      <c r="G74" s="4">
        <v>1</v>
      </c>
      <c r="H74" s="4">
        <v>1</v>
      </c>
      <c r="I74" s="4">
        <v>1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1</v>
      </c>
    </row>
    <row r="75" spans="2:21" x14ac:dyDescent="0.2">
      <c r="B75" s="3" t="s">
        <v>30</v>
      </c>
      <c r="C75" s="3" t="s">
        <v>21</v>
      </c>
      <c r="D75" s="3"/>
      <c r="E75" s="4">
        <v>140</v>
      </c>
      <c r="F75" s="4">
        <v>140</v>
      </c>
      <c r="G75" s="4">
        <v>140</v>
      </c>
      <c r="H75" s="4">
        <v>140</v>
      </c>
      <c r="I75" s="4">
        <v>139</v>
      </c>
      <c r="J75" s="4">
        <v>140</v>
      </c>
      <c r="K75" s="4">
        <v>141</v>
      </c>
      <c r="L75" s="4">
        <v>139</v>
      </c>
      <c r="M75" s="4">
        <v>138</v>
      </c>
      <c r="N75" s="4">
        <v>138</v>
      </c>
      <c r="O75" s="4">
        <v>139</v>
      </c>
      <c r="P75" s="4">
        <v>139</v>
      </c>
      <c r="Q75" s="4">
        <v>139</v>
      </c>
      <c r="R75" s="4">
        <v>135</v>
      </c>
      <c r="S75" s="4">
        <v>135</v>
      </c>
      <c r="T75" s="4">
        <v>135</v>
      </c>
      <c r="U75" s="4">
        <v>134</v>
      </c>
    </row>
    <row r="76" spans="2:21" x14ac:dyDescent="0.2">
      <c r="C76" s="3" t="s">
        <v>22</v>
      </c>
      <c r="D76" s="3"/>
      <c r="E76" s="4">
        <v>516</v>
      </c>
      <c r="F76" s="4">
        <v>517</v>
      </c>
      <c r="G76" s="4">
        <v>515</v>
      </c>
      <c r="H76" s="4">
        <v>519</v>
      </c>
      <c r="I76" s="4">
        <v>522</v>
      </c>
      <c r="J76" s="4">
        <v>528</v>
      </c>
      <c r="K76" s="4">
        <v>530</v>
      </c>
      <c r="L76" s="4">
        <v>539</v>
      </c>
      <c r="M76" s="4">
        <v>545</v>
      </c>
      <c r="N76" s="4">
        <v>550</v>
      </c>
      <c r="O76" s="4">
        <v>551</v>
      </c>
      <c r="P76" s="4">
        <v>563</v>
      </c>
      <c r="Q76" s="4">
        <v>562</v>
      </c>
      <c r="R76" s="4">
        <v>573</v>
      </c>
      <c r="S76" s="4">
        <v>579</v>
      </c>
      <c r="T76" s="4">
        <v>589</v>
      </c>
      <c r="U76" s="4">
        <v>604</v>
      </c>
    </row>
    <row r="77" spans="2:21" x14ac:dyDescent="0.2">
      <c r="C77" s="3" t="s">
        <v>23</v>
      </c>
      <c r="D77" s="3"/>
      <c r="E77" s="4">
        <v>51</v>
      </c>
      <c r="F77" s="4">
        <v>58</v>
      </c>
      <c r="G77" s="4">
        <v>60</v>
      </c>
      <c r="H77" s="4">
        <v>61</v>
      </c>
      <c r="I77" s="4">
        <v>63</v>
      </c>
      <c r="J77" s="4">
        <v>68</v>
      </c>
      <c r="K77" s="4">
        <v>69</v>
      </c>
      <c r="L77" s="4">
        <v>69</v>
      </c>
      <c r="M77" s="4">
        <v>71</v>
      </c>
      <c r="N77" s="4">
        <v>73</v>
      </c>
      <c r="O77" s="4">
        <v>73</v>
      </c>
      <c r="P77" s="4">
        <v>75</v>
      </c>
      <c r="Q77" s="4">
        <v>77</v>
      </c>
      <c r="R77" s="4">
        <v>78</v>
      </c>
      <c r="S77" s="4">
        <v>81</v>
      </c>
      <c r="T77" s="4">
        <v>82</v>
      </c>
      <c r="U77" s="4">
        <v>81</v>
      </c>
    </row>
    <row r="78" spans="2:21" x14ac:dyDescent="0.2">
      <c r="C78" s="3" t="s">
        <v>24</v>
      </c>
      <c r="D78" s="3"/>
      <c r="E78" s="4">
        <v>0</v>
      </c>
      <c r="F78" s="4">
        <v>0</v>
      </c>
      <c r="G78" s="4">
        <v>2</v>
      </c>
      <c r="H78" s="4">
        <v>3</v>
      </c>
      <c r="I78" s="4">
        <v>3</v>
      </c>
      <c r="J78" s="4">
        <v>4</v>
      </c>
      <c r="K78" s="4">
        <v>4</v>
      </c>
      <c r="L78" s="4">
        <v>5</v>
      </c>
      <c r="M78" s="4">
        <v>5</v>
      </c>
      <c r="N78" s="4">
        <v>5</v>
      </c>
      <c r="O78" s="4">
        <v>5</v>
      </c>
      <c r="P78" s="4">
        <v>5</v>
      </c>
      <c r="Q78" s="4">
        <v>5</v>
      </c>
      <c r="R78" s="4">
        <v>7</v>
      </c>
      <c r="S78" s="4">
        <v>7</v>
      </c>
      <c r="T78" s="4">
        <v>7</v>
      </c>
      <c r="U78" s="4">
        <v>7</v>
      </c>
    </row>
    <row r="79" spans="2:21" x14ac:dyDescent="0.2">
      <c r="C79" s="3" t="s">
        <v>25</v>
      </c>
      <c r="D79" s="3"/>
      <c r="E79" s="4">
        <v>1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4">
        <v>2</v>
      </c>
      <c r="M79" s="4">
        <v>2</v>
      </c>
      <c r="N79" s="4">
        <v>2</v>
      </c>
      <c r="O79" s="4">
        <v>2</v>
      </c>
      <c r="P79" s="4">
        <v>2</v>
      </c>
      <c r="Q79" s="4">
        <v>2</v>
      </c>
      <c r="R79" s="4">
        <v>2</v>
      </c>
      <c r="S79" s="4">
        <v>2</v>
      </c>
      <c r="T79" s="4">
        <v>2</v>
      </c>
      <c r="U79" s="4">
        <v>2</v>
      </c>
    </row>
    <row r="80" spans="2:21" x14ac:dyDescent="0.2">
      <c r="C80" s="3" t="s">
        <v>26</v>
      </c>
      <c r="D80" s="3"/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</row>
    <row r="81" spans="2:21" x14ac:dyDescent="0.2">
      <c r="C81" s="3" t="s">
        <v>27</v>
      </c>
      <c r="D81" s="3"/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</row>
    <row r="82" spans="2:21" x14ac:dyDescent="0.2">
      <c r="B82" s="3" t="s">
        <v>31</v>
      </c>
      <c r="C82" s="3" t="s">
        <v>21</v>
      </c>
      <c r="D82" s="3"/>
      <c r="E82" s="4">
        <v>110</v>
      </c>
      <c r="F82" s="4">
        <v>109</v>
      </c>
      <c r="G82" s="4">
        <v>108</v>
      </c>
      <c r="H82" s="4">
        <v>107</v>
      </c>
      <c r="I82" s="4">
        <v>106</v>
      </c>
      <c r="J82" s="4">
        <v>104</v>
      </c>
      <c r="K82" s="4">
        <v>103</v>
      </c>
      <c r="L82" s="4">
        <v>102</v>
      </c>
      <c r="M82" s="4">
        <v>101</v>
      </c>
      <c r="N82" s="4">
        <v>97</v>
      </c>
      <c r="O82" s="4">
        <v>96</v>
      </c>
      <c r="P82" s="4">
        <v>95</v>
      </c>
      <c r="Q82" s="4">
        <v>93</v>
      </c>
      <c r="R82" s="4">
        <v>92</v>
      </c>
      <c r="S82" s="4">
        <v>90</v>
      </c>
      <c r="T82" s="4">
        <v>90</v>
      </c>
      <c r="U82" s="4">
        <v>105</v>
      </c>
    </row>
    <row r="83" spans="2:21" x14ac:dyDescent="0.2">
      <c r="C83" s="3" t="s">
        <v>22</v>
      </c>
      <c r="D83" s="3"/>
      <c r="E83" s="4">
        <v>1266</v>
      </c>
      <c r="F83" s="4">
        <v>1267</v>
      </c>
      <c r="G83" s="4">
        <v>1268</v>
      </c>
      <c r="H83" s="4">
        <v>1272</v>
      </c>
      <c r="I83" s="4">
        <v>1270</v>
      </c>
      <c r="J83" s="4">
        <v>1273</v>
      </c>
      <c r="K83" s="4">
        <v>1272</v>
      </c>
      <c r="L83" s="4">
        <v>1275</v>
      </c>
      <c r="M83" s="4">
        <v>1276</v>
      </c>
      <c r="N83" s="4">
        <v>1281</v>
      </c>
      <c r="O83" s="4">
        <v>1282</v>
      </c>
      <c r="P83" s="4">
        <v>1300</v>
      </c>
      <c r="Q83" s="4">
        <v>1302</v>
      </c>
      <c r="R83" s="4">
        <v>1304</v>
      </c>
      <c r="S83" s="4">
        <v>1307</v>
      </c>
      <c r="T83" s="4">
        <v>1307</v>
      </c>
      <c r="U83" s="4">
        <v>1308</v>
      </c>
    </row>
    <row r="84" spans="2:21" x14ac:dyDescent="0.2">
      <c r="C84" s="3" t="s">
        <v>23</v>
      </c>
      <c r="D84" s="3"/>
      <c r="E84" s="4">
        <v>49</v>
      </c>
      <c r="F84" s="4">
        <v>53</v>
      </c>
      <c r="G84" s="4">
        <v>53</v>
      </c>
      <c r="H84" s="4">
        <v>59</v>
      </c>
      <c r="I84" s="4">
        <v>59</v>
      </c>
      <c r="J84" s="4">
        <v>59</v>
      </c>
      <c r="K84" s="4">
        <v>61</v>
      </c>
      <c r="L84" s="4">
        <v>61</v>
      </c>
      <c r="M84" s="4">
        <v>61</v>
      </c>
      <c r="N84" s="4">
        <v>60</v>
      </c>
      <c r="O84" s="4">
        <v>60</v>
      </c>
      <c r="P84" s="4">
        <v>61</v>
      </c>
      <c r="Q84" s="4">
        <v>61</v>
      </c>
      <c r="R84" s="4">
        <v>60</v>
      </c>
      <c r="S84" s="4">
        <v>59</v>
      </c>
      <c r="T84" s="4">
        <v>59</v>
      </c>
      <c r="U84" s="4">
        <v>60</v>
      </c>
    </row>
    <row r="85" spans="2:21" x14ac:dyDescent="0.2">
      <c r="C85" s="3" t="s">
        <v>24</v>
      </c>
      <c r="D85" s="3"/>
      <c r="E85" s="4">
        <v>1</v>
      </c>
      <c r="F85" s="4">
        <v>1</v>
      </c>
      <c r="G85" s="4">
        <v>1</v>
      </c>
      <c r="H85" s="4">
        <v>4</v>
      </c>
      <c r="I85" s="4">
        <v>4</v>
      </c>
      <c r="J85" s="4">
        <v>4</v>
      </c>
      <c r="K85" s="4">
        <v>4</v>
      </c>
      <c r="L85" s="4">
        <v>4</v>
      </c>
      <c r="M85" s="4">
        <v>4</v>
      </c>
      <c r="N85" s="4">
        <v>4</v>
      </c>
      <c r="O85" s="4">
        <v>4</v>
      </c>
      <c r="P85" s="4">
        <v>4</v>
      </c>
      <c r="Q85" s="4">
        <v>4</v>
      </c>
      <c r="R85" s="4">
        <v>4</v>
      </c>
      <c r="S85" s="4">
        <v>4</v>
      </c>
      <c r="T85" s="4">
        <v>4</v>
      </c>
      <c r="U85" s="4">
        <v>4</v>
      </c>
    </row>
    <row r="86" spans="2:21" x14ac:dyDescent="0.2">
      <c r="C86" s="3" t="s">
        <v>25</v>
      </c>
      <c r="D86" s="3"/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</row>
    <row r="87" spans="2:21" x14ac:dyDescent="0.2">
      <c r="C87" s="3" t="s">
        <v>26</v>
      </c>
      <c r="D87" s="3"/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</row>
    <row r="88" spans="2:21" x14ac:dyDescent="0.2">
      <c r="C88" s="3" t="s">
        <v>27</v>
      </c>
      <c r="D88" s="3"/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</row>
    <row r="89" spans="2:21" x14ac:dyDescent="0.2">
      <c r="B89" s="3" t="s">
        <v>32</v>
      </c>
      <c r="C89" s="3" t="s">
        <v>21</v>
      </c>
      <c r="D89" s="3"/>
      <c r="E89" s="4">
        <v>2365</v>
      </c>
      <c r="F89" s="4">
        <v>2430</v>
      </c>
      <c r="G89" s="4">
        <v>2414</v>
      </c>
      <c r="H89" s="4">
        <v>2450</v>
      </c>
      <c r="I89" s="4">
        <v>2481</v>
      </c>
      <c r="J89" s="4">
        <v>2486</v>
      </c>
      <c r="K89" s="4">
        <v>2494</v>
      </c>
      <c r="L89" s="4">
        <v>2488</v>
      </c>
      <c r="M89" s="4">
        <v>2544</v>
      </c>
      <c r="N89" s="4">
        <v>2553</v>
      </c>
      <c r="O89" s="4">
        <v>2645</v>
      </c>
      <c r="P89" s="4">
        <v>2702</v>
      </c>
      <c r="Q89" s="4">
        <v>2738</v>
      </c>
      <c r="R89" s="4">
        <v>2792</v>
      </c>
      <c r="S89" s="4">
        <v>2881</v>
      </c>
      <c r="T89" s="4">
        <v>2931</v>
      </c>
      <c r="U89" s="4">
        <v>3007</v>
      </c>
    </row>
    <row r="90" spans="2:21" x14ac:dyDescent="0.2">
      <c r="C90" s="3" t="s">
        <v>22</v>
      </c>
      <c r="D90" s="3"/>
      <c r="E90" s="4">
        <v>10999</v>
      </c>
      <c r="F90" s="4">
        <v>11186</v>
      </c>
      <c r="G90" s="4">
        <v>11250</v>
      </c>
      <c r="H90" s="4">
        <v>11363</v>
      </c>
      <c r="I90" s="4">
        <v>11415</v>
      </c>
      <c r="J90" s="4">
        <v>11483</v>
      </c>
      <c r="K90" s="4">
        <v>11502</v>
      </c>
      <c r="L90" s="4">
        <v>11627</v>
      </c>
      <c r="M90" s="4">
        <v>11654</v>
      </c>
      <c r="N90" s="4">
        <v>11765</v>
      </c>
      <c r="O90" s="4">
        <v>11983</v>
      </c>
      <c r="P90" s="4">
        <v>12269</v>
      </c>
      <c r="Q90" s="4">
        <v>12483</v>
      </c>
      <c r="R90" s="4">
        <v>12653</v>
      </c>
      <c r="S90" s="4">
        <v>12822</v>
      </c>
      <c r="T90" s="4">
        <v>13058</v>
      </c>
      <c r="U90" s="4">
        <v>13330</v>
      </c>
    </row>
    <row r="91" spans="2:21" x14ac:dyDescent="0.2">
      <c r="C91" s="3" t="s">
        <v>23</v>
      </c>
      <c r="D91" s="3"/>
      <c r="E91" s="4">
        <v>1793</v>
      </c>
      <c r="F91" s="4">
        <v>1915</v>
      </c>
      <c r="G91" s="4">
        <v>1992</v>
      </c>
      <c r="H91" s="4">
        <v>2077</v>
      </c>
      <c r="I91" s="4">
        <v>2184</v>
      </c>
      <c r="J91" s="4">
        <v>2226</v>
      </c>
      <c r="K91" s="4">
        <v>2253</v>
      </c>
      <c r="L91" s="4">
        <v>2280</v>
      </c>
      <c r="M91" s="4">
        <v>2311</v>
      </c>
      <c r="N91" s="4">
        <v>2326</v>
      </c>
      <c r="O91" s="4">
        <v>2345</v>
      </c>
      <c r="P91" s="4">
        <v>2405</v>
      </c>
      <c r="Q91" s="4">
        <v>2446</v>
      </c>
      <c r="R91" s="4">
        <v>2475</v>
      </c>
      <c r="S91" s="4">
        <v>2536</v>
      </c>
      <c r="T91" s="4">
        <v>2672</v>
      </c>
      <c r="U91" s="4">
        <v>2728</v>
      </c>
    </row>
    <row r="92" spans="2:21" x14ac:dyDescent="0.2">
      <c r="C92" s="3" t="s">
        <v>24</v>
      </c>
      <c r="D92" s="3"/>
      <c r="E92" s="4">
        <v>382</v>
      </c>
      <c r="F92" s="4">
        <v>414</v>
      </c>
      <c r="G92" s="4">
        <v>435</v>
      </c>
      <c r="H92" s="4">
        <v>456</v>
      </c>
      <c r="I92" s="4">
        <v>467</v>
      </c>
      <c r="J92" s="4">
        <v>478</v>
      </c>
      <c r="K92" s="4">
        <v>487</v>
      </c>
      <c r="L92" s="4">
        <v>501</v>
      </c>
      <c r="M92" s="4">
        <v>506</v>
      </c>
      <c r="N92" s="4">
        <v>504</v>
      </c>
      <c r="O92" s="4">
        <v>505</v>
      </c>
      <c r="P92" s="4">
        <v>518</v>
      </c>
      <c r="Q92" s="4">
        <v>521</v>
      </c>
      <c r="R92" s="4">
        <v>531</v>
      </c>
      <c r="S92" s="4">
        <v>536</v>
      </c>
      <c r="T92" s="4">
        <v>569</v>
      </c>
      <c r="U92" s="4">
        <v>594</v>
      </c>
    </row>
    <row r="93" spans="2:21" x14ac:dyDescent="0.2">
      <c r="C93" s="3" t="s">
        <v>25</v>
      </c>
      <c r="D93" s="3"/>
      <c r="E93" s="4">
        <v>79</v>
      </c>
      <c r="F93" s="4">
        <v>79</v>
      </c>
      <c r="G93" s="4">
        <v>79</v>
      </c>
      <c r="H93" s="4">
        <v>81</v>
      </c>
      <c r="I93" s="4">
        <v>83</v>
      </c>
      <c r="J93" s="4">
        <v>83</v>
      </c>
      <c r="K93" s="4">
        <v>84</v>
      </c>
      <c r="L93" s="4">
        <v>85</v>
      </c>
      <c r="M93" s="4">
        <v>85</v>
      </c>
      <c r="N93" s="4">
        <v>87</v>
      </c>
      <c r="O93" s="4">
        <v>87</v>
      </c>
      <c r="P93" s="4">
        <v>87</v>
      </c>
      <c r="Q93" s="4">
        <v>88</v>
      </c>
      <c r="R93" s="4">
        <v>89</v>
      </c>
      <c r="S93" s="4">
        <v>89</v>
      </c>
      <c r="T93" s="4">
        <v>93</v>
      </c>
      <c r="U93" s="4">
        <v>96</v>
      </c>
    </row>
    <row r="94" spans="2:21" x14ac:dyDescent="0.2">
      <c r="C94" s="3" t="s">
        <v>26</v>
      </c>
      <c r="D94" s="3"/>
      <c r="E94" s="4">
        <v>10</v>
      </c>
      <c r="F94" s="4">
        <v>10</v>
      </c>
      <c r="G94" s="4">
        <v>10</v>
      </c>
      <c r="H94" s="4">
        <v>10</v>
      </c>
      <c r="I94" s="4">
        <v>10</v>
      </c>
      <c r="J94" s="4">
        <v>11</v>
      </c>
      <c r="K94" s="4">
        <v>11</v>
      </c>
      <c r="L94" s="4">
        <v>13</v>
      </c>
      <c r="M94" s="4">
        <v>12</v>
      </c>
      <c r="N94" s="4">
        <v>12</v>
      </c>
      <c r="O94" s="4">
        <v>13</v>
      </c>
      <c r="P94" s="4">
        <v>13</v>
      </c>
      <c r="Q94" s="4">
        <v>14</v>
      </c>
      <c r="R94" s="4">
        <v>13</v>
      </c>
      <c r="S94" s="4">
        <v>14</v>
      </c>
      <c r="T94" s="4">
        <v>16</v>
      </c>
      <c r="U94" s="4">
        <v>17</v>
      </c>
    </row>
    <row r="95" spans="2:21" x14ac:dyDescent="0.2">
      <c r="C95" s="3" t="s">
        <v>27</v>
      </c>
      <c r="D95" s="3"/>
      <c r="E95" s="4">
        <v>3</v>
      </c>
      <c r="F95" s="4">
        <v>3</v>
      </c>
      <c r="G95" s="4">
        <v>3</v>
      </c>
      <c r="H95" s="4">
        <v>3</v>
      </c>
      <c r="I95" s="4">
        <v>3</v>
      </c>
      <c r="J95" s="4">
        <v>3</v>
      </c>
      <c r="K95" s="4">
        <v>3</v>
      </c>
      <c r="L95" s="4">
        <v>3</v>
      </c>
      <c r="M95" s="4">
        <v>3</v>
      </c>
      <c r="N95" s="4">
        <v>3</v>
      </c>
      <c r="O95" s="4">
        <v>3</v>
      </c>
      <c r="P95" s="4">
        <v>3</v>
      </c>
      <c r="Q95" s="4">
        <v>3</v>
      </c>
      <c r="R95" s="4">
        <v>3</v>
      </c>
      <c r="S95" s="4">
        <v>3</v>
      </c>
      <c r="T95" s="4">
        <v>3</v>
      </c>
      <c r="U95" s="4">
        <v>2</v>
      </c>
    </row>
    <row r="96" spans="2:21" x14ac:dyDescent="0.2">
      <c r="B96" s="7" t="s">
        <v>41</v>
      </c>
      <c r="C96" s="3" t="s">
        <v>21</v>
      </c>
      <c r="D96" s="3">
        <f>(99+0)/2</f>
        <v>49.5</v>
      </c>
      <c r="E96" s="4">
        <v>1872</v>
      </c>
      <c r="F96" s="4">
        <v>1892</v>
      </c>
      <c r="G96" s="4">
        <v>1886</v>
      </c>
      <c r="H96" s="4">
        <v>1878</v>
      </c>
      <c r="I96" s="4">
        <v>1863</v>
      </c>
      <c r="J96" s="4">
        <v>1869</v>
      </c>
      <c r="K96" s="4">
        <v>1866</v>
      </c>
      <c r="L96" s="4">
        <v>1865</v>
      </c>
      <c r="M96" s="4">
        <v>1860</v>
      </c>
      <c r="N96" s="4">
        <v>1861</v>
      </c>
      <c r="O96" s="4">
        <v>1856</v>
      </c>
      <c r="P96" s="4">
        <v>1840</v>
      </c>
      <c r="Q96" s="4">
        <v>1850</v>
      </c>
      <c r="R96" s="4">
        <v>1841</v>
      </c>
      <c r="S96" s="4">
        <v>1849</v>
      </c>
      <c r="T96" s="4">
        <v>1845</v>
      </c>
      <c r="U96" s="4">
        <v>1834</v>
      </c>
    </row>
    <row r="97" spans="1:21" x14ac:dyDescent="0.2">
      <c r="C97" s="3" t="s">
        <v>22</v>
      </c>
      <c r="D97" s="3">
        <f>(199+100)/2</f>
        <v>149.5</v>
      </c>
      <c r="E97" s="4">
        <v>2151</v>
      </c>
      <c r="F97" s="4">
        <v>2161</v>
      </c>
      <c r="G97" s="4">
        <v>2172</v>
      </c>
      <c r="H97" s="4">
        <v>2181</v>
      </c>
      <c r="I97" s="4">
        <v>2191</v>
      </c>
      <c r="J97" s="4">
        <v>2195</v>
      </c>
      <c r="K97" s="4">
        <v>2191</v>
      </c>
      <c r="L97" s="4">
        <v>2190</v>
      </c>
      <c r="M97" s="4">
        <v>2195</v>
      </c>
      <c r="N97" s="4">
        <v>2197</v>
      </c>
      <c r="O97" s="4">
        <v>2208</v>
      </c>
      <c r="P97" s="4">
        <v>2226</v>
      </c>
      <c r="Q97" s="4">
        <v>2213</v>
      </c>
      <c r="R97" s="4">
        <v>2230</v>
      </c>
      <c r="S97" s="4">
        <v>2226</v>
      </c>
      <c r="T97" s="4">
        <v>2239</v>
      </c>
      <c r="U97" s="4">
        <v>2263</v>
      </c>
    </row>
    <row r="98" spans="1:21" x14ac:dyDescent="0.2">
      <c r="C98" s="3" t="s">
        <v>23</v>
      </c>
      <c r="D98" s="3">
        <f>(200+499)/2</f>
        <v>349.5</v>
      </c>
      <c r="E98" s="4">
        <v>285</v>
      </c>
      <c r="F98" s="4">
        <v>297</v>
      </c>
      <c r="G98" s="4">
        <v>301</v>
      </c>
      <c r="H98" s="4">
        <v>312</v>
      </c>
      <c r="I98" s="4">
        <v>319</v>
      </c>
      <c r="J98" s="4">
        <v>327</v>
      </c>
      <c r="K98" s="4">
        <v>331</v>
      </c>
      <c r="L98" s="4">
        <v>333</v>
      </c>
      <c r="M98" s="4">
        <v>340</v>
      </c>
      <c r="N98" s="4">
        <v>346</v>
      </c>
      <c r="O98" s="4">
        <v>345</v>
      </c>
      <c r="P98" s="4">
        <v>348</v>
      </c>
      <c r="Q98" s="4">
        <v>346</v>
      </c>
      <c r="R98" s="4">
        <v>344</v>
      </c>
      <c r="S98" s="4">
        <v>348</v>
      </c>
      <c r="T98" s="4">
        <v>351</v>
      </c>
      <c r="U98" s="4">
        <v>347</v>
      </c>
    </row>
    <row r="99" spans="1:21" x14ac:dyDescent="0.2">
      <c r="C99" s="3" t="s">
        <v>24</v>
      </c>
      <c r="D99" s="3">
        <f>(500+999)/2</f>
        <v>749.5</v>
      </c>
      <c r="E99" s="4">
        <v>14</v>
      </c>
      <c r="F99" s="4">
        <v>14</v>
      </c>
      <c r="G99" s="4">
        <v>14</v>
      </c>
      <c r="H99" s="4">
        <v>14</v>
      </c>
      <c r="I99" s="4">
        <v>14</v>
      </c>
      <c r="J99" s="4">
        <v>16</v>
      </c>
      <c r="K99" s="4">
        <v>17</v>
      </c>
      <c r="L99" s="4">
        <v>17</v>
      </c>
      <c r="M99" s="4">
        <v>16</v>
      </c>
      <c r="N99" s="4">
        <v>16</v>
      </c>
      <c r="O99" s="4">
        <v>16</v>
      </c>
      <c r="P99" s="4">
        <v>22</v>
      </c>
      <c r="Q99" s="4">
        <v>22</v>
      </c>
      <c r="R99" s="4">
        <v>22</v>
      </c>
      <c r="S99" s="4">
        <v>23</v>
      </c>
      <c r="T99" s="4">
        <v>27</v>
      </c>
      <c r="U99" s="4">
        <v>29</v>
      </c>
    </row>
    <row r="100" spans="1:21" x14ac:dyDescent="0.2">
      <c r="C100" s="3" t="s">
        <v>25</v>
      </c>
      <c r="D100" s="3">
        <f>(1000+1999)/2</f>
        <v>1499.5</v>
      </c>
      <c r="E100" s="4">
        <v>4</v>
      </c>
      <c r="F100" s="4">
        <v>6</v>
      </c>
      <c r="G100" s="4">
        <v>9</v>
      </c>
      <c r="H100" s="4">
        <v>9</v>
      </c>
      <c r="I100" s="4">
        <v>10</v>
      </c>
      <c r="J100" s="4">
        <v>10</v>
      </c>
      <c r="K100" s="4">
        <v>10</v>
      </c>
      <c r="L100" s="4">
        <v>10</v>
      </c>
      <c r="M100" s="4">
        <v>8</v>
      </c>
      <c r="N100" s="4">
        <v>8</v>
      </c>
      <c r="O100" s="4">
        <v>8</v>
      </c>
      <c r="P100" s="4">
        <v>10</v>
      </c>
      <c r="Q100" s="4">
        <v>10</v>
      </c>
      <c r="R100" s="4">
        <v>11</v>
      </c>
      <c r="S100" s="4">
        <v>12</v>
      </c>
      <c r="T100" s="4">
        <v>13</v>
      </c>
      <c r="U100" s="4">
        <v>13</v>
      </c>
    </row>
    <row r="101" spans="1:21" x14ac:dyDescent="0.2">
      <c r="C101" s="3" t="s">
        <v>26</v>
      </c>
      <c r="D101" s="3">
        <f>(2000+4999)/2</f>
        <v>3499.5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</row>
    <row r="102" spans="1:21" x14ac:dyDescent="0.2">
      <c r="C102" s="3" t="s">
        <v>27</v>
      </c>
      <c r="D102" s="3">
        <f>5000</f>
        <v>5000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1</v>
      </c>
      <c r="Q102" s="4">
        <v>1</v>
      </c>
      <c r="R102" s="4">
        <v>1</v>
      </c>
      <c r="S102" s="4">
        <v>1</v>
      </c>
      <c r="T102" s="4">
        <v>1</v>
      </c>
      <c r="U102" s="4">
        <v>1</v>
      </c>
    </row>
    <row r="103" spans="1:21" x14ac:dyDescent="0.2">
      <c r="A103" s="3" t="s">
        <v>34</v>
      </c>
      <c r="B103" s="3" t="s">
        <v>20</v>
      </c>
      <c r="C103" s="3" t="s">
        <v>21</v>
      </c>
      <c r="D103" s="3"/>
      <c r="E103" s="4">
        <v>734</v>
      </c>
      <c r="F103" s="4">
        <v>702</v>
      </c>
      <c r="G103" s="4">
        <v>669</v>
      </c>
      <c r="H103" s="4">
        <v>626</v>
      </c>
      <c r="I103" s="4">
        <v>620</v>
      </c>
      <c r="J103" s="4">
        <v>591</v>
      </c>
      <c r="K103" s="4">
        <v>574</v>
      </c>
      <c r="L103" s="4">
        <v>552</v>
      </c>
      <c r="M103" s="4">
        <v>549</v>
      </c>
      <c r="N103" s="4">
        <v>546</v>
      </c>
      <c r="O103" s="4">
        <v>542</v>
      </c>
      <c r="P103" s="4">
        <v>529</v>
      </c>
      <c r="Q103" s="4">
        <v>527</v>
      </c>
      <c r="R103" s="4">
        <v>525</v>
      </c>
      <c r="S103" s="4">
        <v>517</v>
      </c>
      <c r="T103" s="4">
        <v>536</v>
      </c>
      <c r="U103" s="4">
        <v>546</v>
      </c>
    </row>
    <row r="104" spans="1:21" x14ac:dyDescent="0.2">
      <c r="C104" s="3" t="s">
        <v>22</v>
      </c>
      <c r="D104" s="3"/>
      <c r="E104" s="4">
        <v>11060</v>
      </c>
      <c r="F104" s="4">
        <v>10823</v>
      </c>
      <c r="G104" s="4">
        <v>10630</v>
      </c>
      <c r="H104" s="4">
        <v>10210</v>
      </c>
      <c r="I104" s="4">
        <v>10039</v>
      </c>
      <c r="J104" s="4">
        <v>9698</v>
      </c>
      <c r="K104" s="4">
        <v>9366</v>
      </c>
      <c r="L104" s="4">
        <v>9013</v>
      </c>
      <c r="M104" s="4">
        <v>8713</v>
      </c>
      <c r="N104" s="4">
        <v>8537</v>
      </c>
      <c r="O104" s="4">
        <v>8392</v>
      </c>
      <c r="P104" s="4">
        <v>8293</v>
      </c>
      <c r="Q104" s="4">
        <v>8256</v>
      </c>
      <c r="R104" s="4">
        <v>8269</v>
      </c>
      <c r="S104" s="4">
        <v>8247</v>
      </c>
      <c r="T104" s="4">
        <v>8378</v>
      </c>
      <c r="U104" s="4">
        <v>8310</v>
      </c>
    </row>
    <row r="105" spans="1:21" x14ac:dyDescent="0.2">
      <c r="C105" s="3" t="s">
        <v>23</v>
      </c>
      <c r="D105" s="3"/>
      <c r="E105" s="4">
        <v>35630</v>
      </c>
      <c r="F105" s="4">
        <v>35890</v>
      </c>
      <c r="G105" s="4">
        <v>35945</v>
      </c>
      <c r="H105" s="4">
        <v>35821</v>
      </c>
      <c r="I105" s="4">
        <v>35834</v>
      </c>
      <c r="J105" s="4">
        <v>35575</v>
      </c>
      <c r="K105" s="4">
        <v>35289</v>
      </c>
      <c r="L105" s="4">
        <v>35015</v>
      </c>
      <c r="M105" s="4">
        <v>34793</v>
      </c>
      <c r="N105" s="4">
        <v>34634</v>
      </c>
      <c r="O105" s="4">
        <v>34541</v>
      </c>
      <c r="P105" s="4">
        <v>34538</v>
      </c>
      <c r="Q105" s="4">
        <v>34553</v>
      </c>
      <c r="R105" s="4">
        <v>34691</v>
      </c>
      <c r="S105" s="4">
        <v>34905</v>
      </c>
      <c r="T105" s="4">
        <v>35392</v>
      </c>
      <c r="U105" s="4">
        <v>35428</v>
      </c>
    </row>
    <row r="106" spans="1:21" x14ac:dyDescent="0.2">
      <c r="C106" s="3" t="s">
        <v>24</v>
      </c>
      <c r="D106" s="3"/>
      <c r="E106" s="4">
        <v>13885</v>
      </c>
      <c r="F106" s="4">
        <v>14092</v>
      </c>
      <c r="G106" s="4">
        <v>14278</v>
      </c>
      <c r="H106" s="4">
        <v>14340</v>
      </c>
      <c r="I106" s="4">
        <v>14537</v>
      </c>
      <c r="J106" s="4">
        <v>14687</v>
      </c>
      <c r="K106" s="4">
        <v>14819</v>
      </c>
      <c r="L106" s="4">
        <v>14949</v>
      </c>
      <c r="M106" s="4">
        <v>15082</v>
      </c>
      <c r="N106" s="4">
        <v>15206</v>
      </c>
      <c r="O106" s="4">
        <v>15355</v>
      </c>
      <c r="P106" s="4">
        <v>15546</v>
      </c>
      <c r="Q106" s="4">
        <v>15714</v>
      </c>
      <c r="R106" s="4">
        <v>15961</v>
      </c>
      <c r="S106" s="4">
        <v>16203</v>
      </c>
      <c r="T106" s="4">
        <v>16559</v>
      </c>
      <c r="U106" s="4">
        <v>16706</v>
      </c>
    </row>
    <row r="107" spans="1:21" x14ac:dyDescent="0.2">
      <c r="C107" s="3" t="s">
        <v>25</v>
      </c>
      <c r="D107" s="3"/>
      <c r="E107" s="4">
        <v>11164</v>
      </c>
      <c r="F107" s="4">
        <v>11268</v>
      </c>
      <c r="G107" s="4">
        <v>11413</v>
      </c>
      <c r="H107" s="4">
        <v>11535</v>
      </c>
      <c r="I107" s="4">
        <v>11645</v>
      </c>
      <c r="J107" s="4">
        <v>11760</v>
      </c>
      <c r="K107" s="4">
        <v>11855</v>
      </c>
      <c r="L107" s="4">
        <v>12000</v>
      </c>
      <c r="M107" s="4">
        <v>12034</v>
      </c>
      <c r="N107" s="4">
        <v>12138</v>
      </c>
      <c r="O107" s="4">
        <v>12194</v>
      </c>
      <c r="P107" s="4">
        <v>12312</v>
      </c>
      <c r="Q107" s="4">
        <v>12428</v>
      </c>
      <c r="R107" s="4">
        <v>12519</v>
      </c>
      <c r="S107" s="4">
        <v>12666</v>
      </c>
      <c r="T107" s="4">
        <v>12884</v>
      </c>
      <c r="U107" s="4">
        <v>12945</v>
      </c>
    </row>
    <row r="108" spans="1:21" x14ac:dyDescent="0.2">
      <c r="C108" s="3" t="s">
        <v>26</v>
      </c>
      <c r="D108" s="3"/>
      <c r="E108" s="4">
        <v>10153</v>
      </c>
      <c r="F108" s="4">
        <v>10235</v>
      </c>
      <c r="G108" s="4">
        <v>10312</v>
      </c>
      <c r="H108" s="4">
        <v>10316</v>
      </c>
      <c r="I108" s="4">
        <v>10384</v>
      </c>
      <c r="J108" s="4">
        <v>10443</v>
      </c>
      <c r="K108" s="4">
        <v>10499</v>
      </c>
      <c r="L108" s="4">
        <v>10537</v>
      </c>
      <c r="M108" s="4">
        <v>10611</v>
      </c>
      <c r="N108" s="4">
        <v>10648</v>
      </c>
      <c r="O108" s="4">
        <v>10687</v>
      </c>
      <c r="P108" s="4">
        <v>10765</v>
      </c>
      <c r="Q108" s="4">
        <v>10830</v>
      </c>
      <c r="R108" s="4">
        <v>10918</v>
      </c>
      <c r="S108" s="4">
        <v>10986</v>
      </c>
      <c r="T108" s="4">
        <v>11140</v>
      </c>
      <c r="U108" s="4">
        <v>11182</v>
      </c>
    </row>
    <row r="109" spans="1:21" x14ac:dyDescent="0.2">
      <c r="C109" s="3" t="s">
        <v>27</v>
      </c>
      <c r="D109" s="3"/>
      <c r="E109" s="4">
        <v>2263</v>
      </c>
      <c r="F109" s="4">
        <v>2270</v>
      </c>
      <c r="G109" s="4">
        <v>2284</v>
      </c>
      <c r="H109" s="4">
        <v>2285</v>
      </c>
      <c r="I109" s="4">
        <v>2295</v>
      </c>
      <c r="J109" s="4">
        <v>2311</v>
      </c>
      <c r="K109" s="4">
        <v>2324</v>
      </c>
      <c r="L109" s="4">
        <v>2333</v>
      </c>
      <c r="M109" s="4">
        <v>2343</v>
      </c>
      <c r="N109" s="4">
        <v>2351</v>
      </c>
      <c r="O109" s="4">
        <v>2368</v>
      </c>
      <c r="P109" s="4">
        <v>2382</v>
      </c>
      <c r="Q109" s="4">
        <v>2392</v>
      </c>
      <c r="R109" s="4">
        <v>2411</v>
      </c>
      <c r="S109" s="4">
        <v>2436</v>
      </c>
      <c r="T109" s="4">
        <v>2464</v>
      </c>
      <c r="U109" s="4">
        <v>2513</v>
      </c>
    </row>
    <row r="110" spans="1:21" x14ac:dyDescent="0.2">
      <c r="B110" s="3" t="s">
        <v>28</v>
      </c>
      <c r="C110" s="3" t="s">
        <v>21</v>
      </c>
      <c r="D110" s="3"/>
      <c r="E110" s="4">
        <v>51</v>
      </c>
      <c r="F110" s="4">
        <v>53</v>
      </c>
      <c r="G110" s="4">
        <v>53</v>
      </c>
      <c r="H110" s="4">
        <v>49</v>
      </c>
      <c r="I110" s="4">
        <v>47</v>
      </c>
      <c r="J110" s="4">
        <v>45</v>
      </c>
      <c r="K110" s="4">
        <v>42</v>
      </c>
      <c r="L110" s="4">
        <v>40</v>
      </c>
      <c r="M110" s="4">
        <v>41</v>
      </c>
      <c r="N110" s="4">
        <v>40</v>
      </c>
      <c r="O110" s="4">
        <v>40</v>
      </c>
      <c r="P110" s="4">
        <v>39</v>
      </c>
      <c r="Q110" s="4">
        <v>41</v>
      </c>
      <c r="R110" s="4">
        <v>41</v>
      </c>
      <c r="S110" s="4">
        <v>27</v>
      </c>
      <c r="T110" s="4">
        <v>27</v>
      </c>
      <c r="U110" s="4">
        <v>26</v>
      </c>
    </row>
    <row r="111" spans="1:21" x14ac:dyDescent="0.2">
      <c r="C111" s="3" t="s">
        <v>22</v>
      </c>
      <c r="D111" s="3"/>
      <c r="E111" s="4">
        <v>710</v>
      </c>
      <c r="F111" s="4">
        <v>691</v>
      </c>
      <c r="G111" s="4">
        <v>666</v>
      </c>
      <c r="H111" s="4">
        <v>621</v>
      </c>
      <c r="I111" s="4">
        <v>594</v>
      </c>
      <c r="J111" s="4">
        <v>539</v>
      </c>
      <c r="K111" s="4">
        <v>485</v>
      </c>
      <c r="L111" s="4">
        <v>448</v>
      </c>
      <c r="M111" s="4">
        <v>412</v>
      </c>
      <c r="N111" s="4">
        <v>377</v>
      </c>
      <c r="O111" s="4">
        <v>354</v>
      </c>
      <c r="P111" s="4">
        <v>337</v>
      </c>
      <c r="Q111" s="4">
        <v>324</v>
      </c>
      <c r="R111" s="4">
        <v>321</v>
      </c>
      <c r="S111" s="4">
        <v>319</v>
      </c>
      <c r="T111" s="4">
        <v>311</v>
      </c>
      <c r="U111" s="4">
        <v>305</v>
      </c>
    </row>
    <row r="112" spans="1:21" x14ac:dyDescent="0.2">
      <c r="C112" s="3" t="s">
        <v>23</v>
      </c>
      <c r="D112" s="3"/>
      <c r="E112" s="4">
        <v>3800</v>
      </c>
      <c r="F112" s="4">
        <v>3804</v>
      </c>
      <c r="G112" s="4">
        <v>3774</v>
      </c>
      <c r="H112" s="4">
        <v>3714</v>
      </c>
      <c r="I112" s="4">
        <v>3685</v>
      </c>
      <c r="J112" s="4">
        <v>3616</v>
      </c>
      <c r="K112" s="4">
        <v>3561</v>
      </c>
      <c r="L112" s="4">
        <v>3506</v>
      </c>
      <c r="M112" s="4">
        <v>3441</v>
      </c>
      <c r="N112" s="4">
        <v>3396</v>
      </c>
      <c r="O112" s="4">
        <v>3361</v>
      </c>
      <c r="P112" s="4">
        <v>3319</v>
      </c>
      <c r="Q112" s="4">
        <v>3300</v>
      </c>
      <c r="R112" s="4">
        <v>3291</v>
      </c>
      <c r="S112" s="4">
        <v>3288</v>
      </c>
      <c r="T112" s="4">
        <v>3303</v>
      </c>
      <c r="U112" s="4">
        <v>3308</v>
      </c>
    </row>
    <row r="113" spans="2:21" x14ac:dyDescent="0.2">
      <c r="C113" s="3" t="s">
        <v>24</v>
      </c>
      <c r="D113" s="3"/>
      <c r="E113" s="4">
        <v>2306</v>
      </c>
      <c r="F113" s="4">
        <v>2306</v>
      </c>
      <c r="G113" s="4">
        <v>2321</v>
      </c>
      <c r="H113" s="4">
        <v>2315</v>
      </c>
      <c r="I113" s="4">
        <v>2321</v>
      </c>
      <c r="J113" s="4">
        <v>2324</v>
      </c>
      <c r="K113" s="4">
        <v>2332</v>
      </c>
      <c r="L113" s="4">
        <v>2339</v>
      </c>
      <c r="M113" s="4">
        <v>2324</v>
      </c>
      <c r="N113" s="4">
        <v>2313</v>
      </c>
      <c r="O113" s="4">
        <v>2313</v>
      </c>
      <c r="P113" s="4">
        <v>2319</v>
      </c>
      <c r="Q113" s="4">
        <v>2321</v>
      </c>
      <c r="R113" s="4">
        <v>2330</v>
      </c>
      <c r="S113" s="4">
        <v>2335</v>
      </c>
      <c r="T113" s="4">
        <v>2327</v>
      </c>
      <c r="U113" s="4">
        <v>2304</v>
      </c>
    </row>
    <row r="114" spans="2:21" x14ac:dyDescent="0.2">
      <c r="C114" s="3" t="s">
        <v>25</v>
      </c>
      <c r="D114" s="3"/>
      <c r="E114" s="4">
        <v>3760</v>
      </c>
      <c r="F114" s="4">
        <v>3760</v>
      </c>
      <c r="G114" s="4">
        <v>3802</v>
      </c>
      <c r="H114" s="4">
        <v>3821</v>
      </c>
      <c r="I114" s="4">
        <v>3823</v>
      </c>
      <c r="J114" s="4">
        <v>3844</v>
      </c>
      <c r="K114" s="4">
        <v>3857</v>
      </c>
      <c r="L114" s="4">
        <v>3871</v>
      </c>
      <c r="M114" s="4">
        <v>3867</v>
      </c>
      <c r="N114" s="4">
        <v>3876</v>
      </c>
      <c r="O114" s="4">
        <v>3885</v>
      </c>
      <c r="P114" s="4">
        <v>3886</v>
      </c>
      <c r="Q114" s="4">
        <v>3885</v>
      </c>
      <c r="R114" s="4">
        <v>3891</v>
      </c>
      <c r="S114" s="4">
        <v>3900</v>
      </c>
      <c r="T114" s="4">
        <v>3919</v>
      </c>
      <c r="U114" s="4">
        <v>3883</v>
      </c>
    </row>
    <row r="115" spans="2:21" x14ac:dyDescent="0.2">
      <c r="C115" s="3" t="s">
        <v>26</v>
      </c>
      <c r="D115" s="3"/>
      <c r="E115" s="4">
        <v>3829</v>
      </c>
      <c r="F115" s="4">
        <v>3837</v>
      </c>
      <c r="G115" s="4">
        <v>3868</v>
      </c>
      <c r="H115" s="4">
        <v>3853</v>
      </c>
      <c r="I115" s="4">
        <v>3861</v>
      </c>
      <c r="J115" s="4">
        <v>3877</v>
      </c>
      <c r="K115" s="4">
        <v>3901</v>
      </c>
      <c r="L115" s="4">
        <v>3903</v>
      </c>
      <c r="M115" s="4">
        <v>3917</v>
      </c>
      <c r="N115" s="4">
        <v>3915</v>
      </c>
      <c r="O115" s="4">
        <v>3926</v>
      </c>
      <c r="P115" s="4">
        <v>3937</v>
      </c>
      <c r="Q115" s="4">
        <v>3946</v>
      </c>
      <c r="R115" s="4">
        <v>3952</v>
      </c>
      <c r="S115" s="4">
        <v>3945</v>
      </c>
      <c r="T115" s="4">
        <v>3999</v>
      </c>
      <c r="U115" s="4">
        <v>4008</v>
      </c>
    </row>
    <row r="116" spans="2:21" x14ac:dyDescent="0.2">
      <c r="C116" s="3" t="s">
        <v>27</v>
      </c>
      <c r="D116" s="3"/>
      <c r="E116" s="4">
        <v>1085</v>
      </c>
      <c r="F116" s="4">
        <v>1087</v>
      </c>
      <c r="G116" s="4">
        <v>1093</v>
      </c>
      <c r="H116" s="4">
        <v>1081</v>
      </c>
      <c r="I116" s="4">
        <v>1079</v>
      </c>
      <c r="J116" s="4">
        <v>1082</v>
      </c>
      <c r="K116" s="4">
        <v>1089</v>
      </c>
      <c r="L116" s="4">
        <v>1091</v>
      </c>
      <c r="M116" s="4">
        <v>1098</v>
      </c>
      <c r="N116" s="4">
        <v>1099</v>
      </c>
      <c r="O116" s="4">
        <v>1102</v>
      </c>
      <c r="P116" s="4">
        <v>1104</v>
      </c>
      <c r="Q116" s="4">
        <v>1110</v>
      </c>
      <c r="R116" s="4">
        <v>1118</v>
      </c>
      <c r="S116" s="4">
        <v>1128</v>
      </c>
      <c r="T116" s="4">
        <v>1136</v>
      </c>
      <c r="U116" s="4">
        <v>1159</v>
      </c>
    </row>
    <row r="117" spans="2:21" x14ac:dyDescent="0.2">
      <c r="B117" s="3" t="s">
        <v>29</v>
      </c>
      <c r="C117" s="3" t="s">
        <v>21</v>
      </c>
      <c r="D117" s="3"/>
      <c r="E117" s="4">
        <v>27</v>
      </c>
      <c r="F117" s="4">
        <v>26</v>
      </c>
      <c r="G117" s="4">
        <v>26</v>
      </c>
      <c r="H117" s="4">
        <v>25</v>
      </c>
      <c r="I117" s="4">
        <v>24</v>
      </c>
      <c r="J117" s="4">
        <v>24</v>
      </c>
      <c r="K117" s="4">
        <v>24</v>
      </c>
      <c r="L117" s="4">
        <v>24</v>
      </c>
      <c r="M117" s="4">
        <v>25</v>
      </c>
      <c r="N117" s="4">
        <v>25</v>
      </c>
      <c r="O117" s="4">
        <v>27</v>
      </c>
      <c r="P117" s="4">
        <v>26</v>
      </c>
      <c r="Q117" s="4">
        <v>26</v>
      </c>
      <c r="R117" s="4">
        <v>26</v>
      </c>
      <c r="S117" s="4">
        <v>25</v>
      </c>
      <c r="T117" s="4">
        <v>30</v>
      </c>
      <c r="U117" s="4">
        <v>29</v>
      </c>
    </row>
    <row r="118" spans="2:21" x14ac:dyDescent="0.2">
      <c r="C118" s="3" t="s">
        <v>22</v>
      </c>
      <c r="D118" s="3"/>
      <c r="E118" s="4">
        <v>374</v>
      </c>
      <c r="F118" s="4">
        <v>334</v>
      </c>
      <c r="G118" s="4">
        <v>329</v>
      </c>
      <c r="H118" s="4">
        <v>308</v>
      </c>
      <c r="I118" s="4">
        <v>307</v>
      </c>
      <c r="J118" s="4">
        <v>290</v>
      </c>
      <c r="K118" s="4">
        <v>274</v>
      </c>
      <c r="L118" s="4">
        <v>258</v>
      </c>
      <c r="M118" s="4">
        <v>247</v>
      </c>
      <c r="N118" s="4">
        <v>240</v>
      </c>
      <c r="O118" s="4">
        <v>239</v>
      </c>
      <c r="P118" s="4">
        <v>234</v>
      </c>
      <c r="Q118" s="4">
        <v>232</v>
      </c>
      <c r="R118" s="4">
        <v>226</v>
      </c>
      <c r="S118" s="4">
        <v>220</v>
      </c>
      <c r="T118" s="4">
        <v>222</v>
      </c>
      <c r="U118" s="4">
        <v>206</v>
      </c>
    </row>
    <row r="119" spans="2:21" x14ac:dyDescent="0.2">
      <c r="C119" s="3" t="s">
        <v>23</v>
      </c>
      <c r="D119" s="3"/>
      <c r="E119" s="4">
        <v>2646</v>
      </c>
      <c r="F119" s="4">
        <v>2657</v>
      </c>
      <c r="G119" s="4">
        <v>2644</v>
      </c>
      <c r="H119" s="4">
        <v>2655</v>
      </c>
      <c r="I119" s="4">
        <v>2644</v>
      </c>
      <c r="J119" s="4">
        <v>2635</v>
      </c>
      <c r="K119" s="4">
        <v>2610</v>
      </c>
      <c r="L119" s="4">
        <v>2588</v>
      </c>
      <c r="M119" s="4">
        <v>2560</v>
      </c>
      <c r="N119" s="4">
        <v>2553</v>
      </c>
      <c r="O119" s="4">
        <v>2548</v>
      </c>
      <c r="P119" s="4">
        <v>2525</v>
      </c>
      <c r="Q119" s="4">
        <v>2517</v>
      </c>
      <c r="R119" s="4">
        <v>2509</v>
      </c>
      <c r="S119" s="4">
        <v>2521</v>
      </c>
      <c r="T119" s="4">
        <v>2537</v>
      </c>
      <c r="U119" s="4">
        <v>2555</v>
      </c>
    </row>
    <row r="120" spans="2:21" x14ac:dyDescent="0.2">
      <c r="C120" s="3" t="s">
        <v>24</v>
      </c>
      <c r="D120" s="3"/>
      <c r="E120" s="4">
        <v>1096</v>
      </c>
      <c r="F120" s="4">
        <v>1119</v>
      </c>
      <c r="G120" s="4">
        <v>1131</v>
      </c>
      <c r="H120" s="4">
        <v>1150</v>
      </c>
      <c r="I120" s="4">
        <v>1155</v>
      </c>
      <c r="J120" s="4">
        <v>1172</v>
      </c>
      <c r="K120" s="4">
        <v>1188</v>
      </c>
      <c r="L120" s="4">
        <v>1206</v>
      </c>
      <c r="M120" s="4">
        <v>1222</v>
      </c>
      <c r="N120" s="4">
        <v>1232</v>
      </c>
      <c r="O120" s="4">
        <v>1243</v>
      </c>
      <c r="P120" s="4">
        <v>1261</v>
      </c>
      <c r="Q120" s="4">
        <v>1268</v>
      </c>
      <c r="R120" s="4">
        <v>1276</v>
      </c>
      <c r="S120" s="4">
        <v>1292</v>
      </c>
      <c r="T120" s="4">
        <v>1313</v>
      </c>
      <c r="U120" s="4">
        <v>1331</v>
      </c>
    </row>
    <row r="121" spans="2:21" x14ac:dyDescent="0.2">
      <c r="C121" s="3" t="s">
        <v>25</v>
      </c>
      <c r="D121" s="3"/>
      <c r="E121" s="4">
        <v>1511</v>
      </c>
      <c r="F121" s="4">
        <v>1525</v>
      </c>
      <c r="G121" s="4">
        <v>1536</v>
      </c>
      <c r="H121" s="4">
        <v>1562</v>
      </c>
      <c r="I121" s="4">
        <v>1593</v>
      </c>
      <c r="J121" s="4">
        <v>1604</v>
      </c>
      <c r="K121" s="4">
        <v>1617</v>
      </c>
      <c r="L121" s="4">
        <v>1628</v>
      </c>
      <c r="M121" s="4">
        <v>1634</v>
      </c>
      <c r="N121" s="4">
        <v>1642</v>
      </c>
      <c r="O121" s="4">
        <v>1644</v>
      </c>
      <c r="P121" s="4">
        <v>1656</v>
      </c>
      <c r="Q121" s="4">
        <v>1666</v>
      </c>
      <c r="R121" s="4">
        <v>1666</v>
      </c>
      <c r="S121" s="4">
        <v>1670</v>
      </c>
      <c r="T121" s="4">
        <v>1684</v>
      </c>
      <c r="U121" s="4">
        <v>1697</v>
      </c>
    </row>
    <row r="122" spans="2:21" x14ac:dyDescent="0.2">
      <c r="C122" s="3" t="s">
        <v>26</v>
      </c>
      <c r="D122" s="3"/>
      <c r="E122" s="4">
        <v>1969</v>
      </c>
      <c r="F122" s="4">
        <v>1997</v>
      </c>
      <c r="G122" s="4">
        <v>1999</v>
      </c>
      <c r="H122" s="4">
        <v>1997</v>
      </c>
      <c r="I122" s="4">
        <v>2011</v>
      </c>
      <c r="J122" s="4">
        <v>2015</v>
      </c>
      <c r="K122" s="4">
        <v>2013</v>
      </c>
      <c r="L122" s="4">
        <v>2019</v>
      </c>
      <c r="M122" s="4">
        <v>2023</v>
      </c>
      <c r="N122" s="4">
        <v>2030</v>
      </c>
      <c r="O122" s="4">
        <v>2029</v>
      </c>
      <c r="P122" s="4">
        <v>2034</v>
      </c>
      <c r="Q122" s="4">
        <v>2035</v>
      </c>
      <c r="R122" s="4">
        <v>2044</v>
      </c>
      <c r="S122" s="4">
        <v>2052</v>
      </c>
      <c r="T122" s="4">
        <v>2074</v>
      </c>
      <c r="U122" s="4">
        <v>2076</v>
      </c>
    </row>
    <row r="123" spans="2:21" x14ac:dyDescent="0.2">
      <c r="C123" s="3" t="s">
        <v>27</v>
      </c>
      <c r="D123" s="3"/>
      <c r="E123" s="4">
        <v>415</v>
      </c>
      <c r="F123" s="4">
        <v>411</v>
      </c>
      <c r="G123" s="4">
        <v>410</v>
      </c>
      <c r="H123" s="4">
        <v>414</v>
      </c>
      <c r="I123" s="4">
        <v>417</v>
      </c>
      <c r="J123" s="4">
        <v>417</v>
      </c>
      <c r="K123" s="4">
        <v>418</v>
      </c>
      <c r="L123" s="4">
        <v>423</v>
      </c>
      <c r="M123" s="4">
        <v>424</v>
      </c>
      <c r="N123" s="4">
        <v>427</v>
      </c>
      <c r="O123" s="4">
        <v>429</v>
      </c>
      <c r="P123" s="4">
        <v>430</v>
      </c>
      <c r="Q123" s="4">
        <v>430</v>
      </c>
      <c r="R123" s="4">
        <v>432</v>
      </c>
      <c r="S123" s="4">
        <v>433</v>
      </c>
      <c r="T123" s="4">
        <v>436</v>
      </c>
      <c r="U123" s="4">
        <v>441</v>
      </c>
    </row>
    <row r="124" spans="2:21" x14ac:dyDescent="0.2">
      <c r="B124" s="3" t="s">
        <v>30</v>
      </c>
      <c r="C124" s="3" t="s">
        <v>21</v>
      </c>
      <c r="D124" s="3"/>
      <c r="E124" s="4">
        <v>2</v>
      </c>
      <c r="F124" s="4">
        <v>2</v>
      </c>
      <c r="G124" s="4">
        <v>2</v>
      </c>
      <c r="H124" s="4">
        <v>2</v>
      </c>
      <c r="I124" s="4">
        <v>1</v>
      </c>
      <c r="J124" s="4">
        <v>1</v>
      </c>
      <c r="K124" s="4">
        <v>1</v>
      </c>
      <c r="L124" s="4">
        <v>1</v>
      </c>
      <c r="M124" s="4">
        <v>1</v>
      </c>
      <c r="N124" s="4">
        <v>1</v>
      </c>
      <c r="O124" s="4">
        <v>1</v>
      </c>
      <c r="P124" s="4">
        <v>1</v>
      </c>
      <c r="Q124" s="4">
        <v>1</v>
      </c>
      <c r="R124" s="4">
        <v>1</v>
      </c>
      <c r="S124" s="4">
        <v>1</v>
      </c>
      <c r="T124" s="4">
        <v>1</v>
      </c>
      <c r="U124" s="4">
        <v>1</v>
      </c>
    </row>
    <row r="125" spans="2:21" x14ac:dyDescent="0.2">
      <c r="C125" s="3" t="s">
        <v>22</v>
      </c>
      <c r="D125" s="3"/>
      <c r="E125" s="4">
        <v>28</v>
      </c>
      <c r="F125" s="4">
        <v>26</v>
      </c>
      <c r="G125" s="4">
        <v>25</v>
      </c>
      <c r="H125" s="4">
        <v>24</v>
      </c>
      <c r="I125" s="4">
        <v>24</v>
      </c>
      <c r="J125" s="4">
        <v>24</v>
      </c>
      <c r="K125" s="4">
        <v>24</v>
      </c>
      <c r="L125" s="4">
        <v>22</v>
      </c>
      <c r="M125" s="4">
        <v>21</v>
      </c>
      <c r="N125" s="4">
        <v>21</v>
      </c>
      <c r="O125" s="4">
        <v>20</v>
      </c>
      <c r="P125" s="4">
        <v>20</v>
      </c>
      <c r="Q125" s="4">
        <v>19</v>
      </c>
      <c r="R125" s="4">
        <v>18</v>
      </c>
      <c r="S125" s="4">
        <v>17</v>
      </c>
      <c r="T125" s="4">
        <v>15</v>
      </c>
      <c r="U125" s="4">
        <v>13</v>
      </c>
    </row>
    <row r="126" spans="2:21" x14ac:dyDescent="0.2">
      <c r="C126" s="3" t="s">
        <v>23</v>
      </c>
      <c r="D126" s="3"/>
      <c r="E126" s="4">
        <v>57</v>
      </c>
      <c r="F126" s="4">
        <v>59</v>
      </c>
      <c r="G126" s="4">
        <v>56</v>
      </c>
      <c r="H126" s="4">
        <v>56</v>
      </c>
      <c r="I126" s="4">
        <v>55</v>
      </c>
      <c r="J126" s="4">
        <v>55</v>
      </c>
      <c r="K126" s="4">
        <v>52</v>
      </c>
      <c r="L126" s="4">
        <v>52</v>
      </c>
      <c r="M126" s="4">
        <v>50</v>
      </c>
      <c r="N126" s="4">
        <v>51</v>
      </c>
      <c r="O126" s="4">
        <v>52</v>
      </c>
      <c r="P126" s="4">
        <v>51</v>
      </c>
      <c r="Q126" s="4">
        <v>52</v>
      </c>
      <c r="R126" s="4">
        <v>56</v>
      </c>
      <c r="S126" s="4">
        <v>55</v>
      </c>
      <c r="T126" s="4">
        <v>55</v>
      </c>
      <c r="U126" s="4">
        <v>57</v>
      </c>
    </row>
    <row r="127" spans="2:21" x14ac:dyDescent="0.2">
      <c r="C127" s="3" t="s">
        <v>24</v>
      </c>
      <c r="D127" s="3"/>
      <c r="E127" s="4">
        <v>24</v>
      </c>
      <c r="F127" s="4">
        <v>26</v>
      </c>
      <c r="G127" s="4">
        <v>26</v>
      </c>
      <c r="H127" s="4">
        <v>26</v>
      </c>
      <c r="I127" s="4">
        <v>26</v>
      </c>
      <c r="J127" s="4">
        <v>26</v>
      </c>
      <c r="K127" s="4">
        <v>29</v>
      </c>
      <c r="L127" s="4">
        <v>29</v>
      </c>
      <c r="M127" s="4">
        <v>31</v>
      </c>
      <c r="N127" s="4">
        <v>31</v>
      </c>
      <c r="O127" s="4">
        <v>31</v>
      </c>
      <c r="P127" s="4">
        <v>32</v>
      </c>
      <c r="Q127" s="4">
        <v>32</v>
      </c>
      <c r="R127" s="4">
        <v>31</v>
      </c>
      <c r="S127" s="4">
        <v>33</v>
      </c>
      <c r="T127" s="4">
        <v>35</v>
      </c>
      <c r="U127" s="4">
        <v>36</v>
      </c>
    </row>
    <row r="128" spans="2:21" x14ac:dyDescent="0.2">
      <c r="C128" s="3" t="s">
        <v>25</v>
      </c>
      <c r="D128" s="3"/>
      <c r="E128" s="4">
        <v>20</v>
      </c>
      <c r="F128" s="4">
        <v>20</v>
      </c>
      <c r="G128" s="4">
        <v>20</v>
      </c>
      <c r="H128" s="4">
        <v>20</v>
      </c>
      <c r="I128" s="4">
        <v>20</v>
      </c>
      <c r="J128" s="4">
        <v>20</v>
      </c>
      <c r="K128" s="4">
        <v>21</v>
      </c>
      <c r="L128" s="4">
        <v>21</v>
      </c>
      <c r="M128" s="4">
        <v>23</v>
      </c>
      <c r="N128" s="4">
        <v>23</v>
      </c>
      <c r="O128" s="4">
        <v>24</v>
      </c>
      <c r="P128" s="4">
        <v>29</v>
      </c>
      <c r="Q128" s="4">
        <v>30</v>
      </c>
      <c r="R128" s="4">
        <v>30</v>
      </c>
      <c r="S128" s="4">
        <v>31</v>
      </c>
      <c r="T128" s="4">
        <v>31</v>
      </c>
      <c r="U128" s="4">
        <v>31</v>
      </c>
    </row>
    <row r="129" spans="2:21" x14ac:dyDescent="0.2">
      <c r="C129" s="3" t="s">
        <v>26</v>
      </c>
      <c r="D129" s="3"/>
      <c r="E129" s="4">
        <v>12</v>
      </c>
      <c r="F129" s="4">
        <v>12</v>
      </c>
      <c r="G129" s="4">
        <v>12</v>
      </c>
      <c r="H129" s="4">
        <v>12</v>
      </c>
      <c r="I129" s="4">
        <v>12</v>
      </c>
      <c r="J129" s="4">
        <v>12</v>
      </c>
      <c r="K129" s="4">
        <v>12</v>
      </c>
      <c r="L129" s="4">
        <v>12</v>
      </c>
      <c r="M129" s="4">
        <v>12</v>
      </c>
      <c r="N129" s="4">
        <v>12</v>
      </c>
      <c r="O129" s="4">
        <v>12</v>
      </c>
      <c r="P129" s="4">
        <v>12</v>
      </c>
      <c r="Q129" s="4">
        <v>12</v>
      </c>
      <c r="R129" s="4">
        <v>12</v>
      </c>
      <c r="S129" s="4">
        <v>12</v>
      </c>
      <c r="T129" s="4">
        <v>12</v>
      </c>
      <c r="U129" s="4">
        <v>12</v>
      </c>
    </row>
    <row r="130" spans="2:21" x14ac:dyDescent="0.2">
      <c r="C130" s="3" t="s">
        <v>27</v>
      </c>
      <c r="D130" s="3"/>
      <c r="E130" s="4">
        <v>1</v>
      </c>
      <c r="F130" s="4">
        <v>1</v>
      </c>
      <c r="G130" s="4">
        <v>1</v>
      </c>
      <c r="H130" s="4">
        <v>1</v>
      </c>
      <c r="I130" s="4">
        <v>1</v>
      </c>
      <c r="J130" s="4">
        <v>1</v>
      </c>
      <c r="K130" s="4">
        <v>1</v>
      </c>
      <c r="L130" s="4">
        <v>1</v>
      </c>
      <c r="M130" s="4">
        <v>1</v>
      </c>
      <c r="N130" s="4">
        <v>1</v>
      </c>
      <c r="O130" s="4">
        <v>1</v>
      </c>
      <c r="P130" s="4">
        <v>1</v>
      </c>
      <c r="Q130" s="4">
        <v>1</v>
      </c>
      <c r="R130" s="4">
        <v>1</v>
      </c>
      <c r="S130" s="4">
        <v>1</v>
      </c>
      <c r="T130" s="4">
        <v>1</v>
      </c>
      <c r="U130" s="4">
        <v>1</v>
      </c>
    </row>
    <row r="131" spans="2:21" x14ac:dyDescent="0.2">
      <c r="B131" s="3" t="s">
        <v>31</v>
      </c>
      <c r="C131" s="3" t="s">
        <v>21</v>
      </c>
      <c r="D131" s="3"/>
      <c r="E131" s="4">
        <v>1</v>
      </c>
      <c r="F131" s="4">
        <v>1</v>
      </c>
      <c r="G131" s="4">
        <v>1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</row>
    <row r="132" spans="2:21" x14ac:dyDescent="0.2">
      <c r="C132" s="3" t="s">
        <v>22</v>
      </c>
      <c r="D132" s="3"/>
      <c r="E132" s="4">
        <v>40</v>
      </c>
      <c r="F132" s="4">
        <v>40</v>
      </c>
      <c r="G132" s="4">
        <v>38</v>
      </c>
      <c r="H132" s="4">
        <v>34</v>
      </c>
      <c r="I132" s="4">
        <v>29</v>
      </c>
      <c r="J132" s="4">
        <v>27</v>
      </c>
      <c r="K132" s="4">
        <v>24</v>
      </c>
      <c r="L132" s="4">
        <v>20</v>
      </c>
      <c r="M132" s="4">
        <v>20</v>
      </c>
      <c r="N132" s="4">
        <v>20</v>
      </c>
      <c r="O132" s="4">
        <v>20</v>
      </c>
      <c r="P132" s="4">
        <v>21</v>
      </c>
      <c r="Q132" s="4">
        <v>21</v>
      </c>
      <c r="R132" s="4">
        <v>22</v>
      </c>
      <c r="S132" s="4">
        <v>23</v>
      </c>
      <c r="T132" s="4">
        <v>23</v>
      </c>
      <c r="U132" s="4">
        <v>21</v>
      </c>
    </row>
    <row r="133" spans="2:21" x14ac:dyDescent="0.2">
      <c r="C133" s="3" t="s">
        <v>23</v>
      </c>
      <c r="D133" s="3"/>
      <c r="E133" s="4">
        <v>104</v>
      </c>
      <c r="F133" s="4">
        <v>102</v>
      </c>
      <c r="G133" s="4">
        <v>102</v>
      </c>
      <c r="H133" s="4">
        <v>96</v>
      </c>
      <c r="I133" s="4">
        <v>91</v>
      </c>
      <c r="J133" s="4">
        <v>92</v>
      </c>
      <c r="K133" s="4">
        <v>92</v>
      </c>
      <c r="L133" s="4">
        <v>91</v>
      </c>
      <c r="M133" s="4">
        <v>90</v>
      </c>
      <c r="N133" s="4">
        <v>88</v>
      </c>
      <c r="O133" s="4">
        <v>88</v>
      </c>
      <c r="P133" s="4">
        <v>88</v>
      </c>
      <c r="Q133" s="4">
        <v>87</v>
      </c>
      <c r="R133" s="4">
        <v>87</v>
      </c>
      <c r="S133" s="4">
        <v>86</v>
      </c>
      <c r="T133" s="4">
        <v>85</v>
      </c>
      <c r="U133" s="4">
        <v>84</v>
      </c>
    </row>
    <row r="134" spans="2:21" x14ac:dyDescent="0.2">
      <c r="C134" s="3" t="s">
        <v>24</v>
      </c>
      <c r="D134" s="3"/>
      <c r="E134" s="4">
        <v>60</v>
      </c>
      <c r="F134" s="4">
        <v>61</v>
      </c>
      <c r="G134" s="4">
        <v>61</v>
      </c>
      <c r="H134" s="4">
        <v>58</v>
      </c>
      <c r="I134" s="4">
        <v>61</v>
      </c>
      <c r="J134" s="4">
        <v>61</v>
      </c>
      <c r="K134" s="4">
        <v>61</v>
      </c>
      <c r="L134" s="4">
        <v>62</v>
      </c>
      <c r="M134" s="4">
        <v>63</v>
      </c>
      <c r="N134" s="4">
        <v>63</v>
      </c>
      <c r="O134" s="4">
        <v>63</v>
      </c>
      <c r="P134" s="4">
        <v>63</v>
      </c>
      <c r="Q134" s="4">
        <v>62</v>
      </c>
      <c r="R134" s="4">
        <v>62</v>
      </c>
      <c r="S134" s="4">
        <v>62</v>
      </c>
      <c r="T134" s="4">
        <v>64</v>
      </c>
      <c r="U134" s="4">
        <v>64</v>
      </c>
    </row>
    <row r="135" spans="2:21" x14ac:dyDescent="0.2">
      <c r="C135" s="3" t="s">
        <v>25</v>
      </c>
      <c r="D135" s="3"/>
      <c r="E135" s="4">
        <v>137</v>
      </c>
      <c r="F135" s="4">
        <v>138</v>
      </c>
      <c r="G135" s="4">
        <v>138</v>
      </c>
      <c r="H135" s="4">
        <v>142</v>
      </c>
      <c r="I135" s="4">
        <v>142</v>
      </c>
      <c r="J135" s="4">
        <v>142</v>
      </c>
      <c r="K135" s="4">
        <v>141</v>
      </c>
      <c r="L135" s="4">
        <v>140</v>
      </c>
      <c r="M135" s="4">
        <v>140</v>
      </c>
      <c r="N135" s="4">
        <v>140</v>
      </c>
      <c r="O135" s="4">
        <v>140</v>
      </c>
      <c r="P135" s="4">
        <v>140</v>
      </c>
      <c r="Q135" s="4">
        <v>142</v>
      </c>
      <c r="R135" s="4">
        <v>143</v>
      </c>
      <c r="S135" s="4">
        <v>143</v>
      </c>
      <c r="T135" s="4">
        <v>145</v>
      </c>
      <c r="U135" s="4">
        <v>145</v>
      </c>
    </row>
    <row r="136" spans="2:21" x14ac:dyDescent="0.2">
      <c r="C136" s="3" t="s">
        <v>26</v>
      </c>
      <c r="D136" s="3"/>
      <c r="E136" s="4">
        <v>143</v>
      </c>
      <c r="F136" s="4">
        <v>145</v>
      </c>
      <c r="G136" s="4">
        <v>145</v>
      </c>
      <c r="H136" s="4">
        <v>145</v>
      </c>
      <c r="I136" s="4">
        <v>150</v>
      </c>
      <c r="J136" s="4">
        <v>150</v>
      </c>
      <c r="K136" s="4">
        <v>150</v>
      </c>
      <c r="L136" s="4">
        <v>151</v>
      </c>
      <c r="M136" s="4">
        <v>151</v>
      </c>
      <c r="N136" s="4">
        <v>156</v>
      </c>
      <c r="O136" s="4">
        <v>156</v>
      </c>
      <c r="P136" s="4">
        <v>156</v>
      </c>
      <c r="Q136" s="4">
        <v>156</v>
      </c>
      <c r="R136" s="4">
        <v>156</v>
      </c>
      <c r="S136" s="4">
        <v>156</v>
      </c>
      <c r="T136" s="4">
        <v>158</v>
      </c>
      <c r="U136" s="4">
        <v>158</v>
      </c>
    </row>
    <row r="137" spans="2:21" x14ac:dyDescent="0.2">
      <c r="C137" s="3" t="s">
        <v>27</v>
      </c>
      <c r="D137" s="3"/>
      <c r="E137" s="4">
        <v>21</v>
      </c>
      <c r="F137" s="4">
        <v>21</v>
      </c>
      <c r="G137" s="4">
        <v>21</v>
      </c>
      <c r="H137" s="4">
        <v>21</v>
      </c>
      <c r="I137" s="4">
        <v>21</v>
      </c>
      <c r="J137" s="4">
        <v>21</v>
      </c>
      <c r="K137" s="4">
        <v>21</v>
      </c>
      <c r="L137" s="4">
        <v>21</v>
      </c>
      <c r="M137" s="4">
        <v>21</v>
      </c>
      <c r="N137" s="4">
        <v>21</v>
      </c>
      <c r="O137" s="4">
        <v>21</v>
      </c>
      <c r="P137" s="4">
        <v>21</v>
      </c>
      <c r="Q137" s="4">
        <v>21</v>
      </c>
      <c r="R137" s="4">
        <v>21</v>
      </c>
      <c r="S137" s="4">
        <v>21</v>
      </c>
      <c r="T137" s="4">
        <v>21</v>
      </c>
      <c r="U137" s="4">
        <v>21</v>
      </c>
    </row>
    <row r="138" spans="2:21" x14ac:dyDescent="0.2">
      <c r="B138" s="3" t="s">
        <v>32</v>
      </c>
      <c r="C138" s="3" t="s">
        <v>21</v>
      </c>
      <c r="D138" s="3"/>
      <c r="E138" s="4">
        <v>44</v>
      </c>
      <c r="F138" s="4">
        <v>38</v>
      </c>
      <c r="G138" s="4">
        <v>38</v>
      </c>
      <c r="H138" s="4">
        <v>40</v>
      </c>
      <c r="I138" s="4">
        <v>37</v>
      </c>
      <c r="J138" s="4">
        <v>30</v>
      </c>
      <c r="K138" s="4">
        <v>30</v>
      </c>
      <c r="L138" s="4">
        <v>23</v>
      </c>
      <c r="M138" s="4">
        <v>23</v>
      </c>
      <c r="N138" s="4">
        <v>23</v>
      </c>
      <c r="O138" s="4">
        <v>22</v>
      </c>
      <c r="P138" s="4">
        <v>21</v>
      </c>
      <c r="Q138" s="4">
        <v>21</v>
      </c>
      <c r="R138" s="4">
        <v>21</v>
      </c>
      <c r="S138" s="4">
        <v>21</v>
      </c>
      <c r="T138" s="4">
        <v>20</v>
      </c>
      <c r="U138" s="4">
        <v>20</v>
      </c>
    </row>
    <row r="139" spans="2:21" x14ac:dyDescent="0.2">
      <c r="C139" s="3" t="s">
        <v>22</v>
      </c>
      <c r="D139" s="3"/>
      <c r="E139" s="4">
        <v>574</v>
      </c>
      <c r="F139" s="4">
        <v>554</v>
      </c>
      <c r="G139" s="4">
        <v>551</v>
      </c>
      <c r="H139" s="4">
        <v>543</v>
      </c>
      <c r="I139" s="4">
        <v>522</v>
      </c>
      <c r="J139" s="4">
        <v>499</v>
      </c>
      <c r="K139" s="4">
        <v>485</v>
      </c>
      <c r="L139" s="4">
        <v>464</v>
      </c>
      <c r="M139" s="4">
        <v>440</v>
      </c>
      <c r="N139" s="4">
        <v>416</v>
      </c>
      <c r="O139" s="4">
        <v>394</v>
      </c>
      <c r="P139" s="4">
        <v>388</v>
      </c>
      <c r="Q139" s="4">
        <v>372</v>
      </c>
      <c r="R139" s="4">
        <v>366</v>
      </c>
      <c r="S139" s="4">
        <v>359</v>
      </c>
      <c r="T139" s="4">
        <v>374</v>
      </c>
      <c r="U139" s="4">
        <v>367</v>
      </c>
    </row>
    <row r="140" spans="2:21" x14ac:dyDescent="0.2">
      <c r="C140" s="3" t="s">
        <v>23</v>
      </c>
      <c r="D140" s="3"/>
      <c r="E140" s="4">
        <v>1754</v>
      </c>
      <c r="F140" s="4">
        <v>1769</v>
      </c>
      <c r="G140" s="4">
        <v>1774</v>
      </c>
      <c r="H140" s="4">
        <v>1765</v>
      </c>
      <c r="I140" s="4">
        <v>1760</v>
      </c>
      <c r="J140" s="4">
        <v>1755</v>
      </c>
      <c r="K140" s="4">
        <v>1766</v>
      </c>
      <c r="L140" s="4">
        <v>1768</v>
      </c>
      <c r="M140" s="4">
        <v>1741</v>
      </c>
      <c r="N140" s="4">
        <v>1737</v>
      </c>
      <c r="O140" s="4">
        <v>1731</v>
      </c>
      <c r="P140" s="4">
        <v>1711</v>
      </c>
      <c r="Q140" s="4">
        <v>1696</v>
      </c>
      <c r="R140" s="4">
        <v>1694</v>
      </c>
      <c r="S140" s="4">
        <v>1701</v>
      </c>
      <c r="T140" s="4">
        <v>1751</v>
      </c>
      <c r="U140" s="4">
        <v>1767</v>
      </c>
    </row>
    <row r="141" spans="2:21" x14ac:dyDescent="0.2">
      <c r="C141" s="3" t="s">
        <v>24</v>
      </c>
      <c r="D141" s="3"/>
      <c r="E141" s="4">
        <v>578</v>
      </c>
      <c r="F141" s="4">
        <v>604</v>
      </c>
      <c r="G141" s="4">
        <v>604</v>
      </c>
      <c r="H141" s="4">
        <v>604</v>
      </c>
      <c r="I141" s="4">
        <v>612</v>
      </c>
      <c r="J141" s="4">
        <v>637</v>
      </c>
      <c r="K141" s="4">
        <v>661</v>
      </c>
      <c r="L141" s="4">
        <v>677</v>
      </c>
      <c r="M141" s="4">
        <v>685</v>
      </c>
      <c r="N141" s="4">
        <v>701</v>
      </c>
      <c r="O141" s="4">
        <v>717</v>
      </c>
      <c r="P141" s="4">
        <v>721</v>
      </c>
      <c r="Q141" s="4">
        <v>725</v>
      </c>
      <c r="R141" s="4">
        <v>753</v>
      </c>
      <c r="S141" s="4">
        <v>768</v>
      </c>
      <c r="T141" s="4">
        <v>795</v>
      </c>
      <c r="U141" s="4">
        <v>811</v>
      </c>
    </row>
    <row r="142" spans="2:21" x14ac:dyDescent="0.2">
      <c r="C142" s="3" t="s">
        <v>25</v>
      </c>
      <c r="D142" s="3"/>
      <c r="E142" s="4">
        <v>452</v>
      </c>
      <c r="F142" s="4">
        <v>460</v>
      </c>
      <c r="G142" s="4">
        <v>471</v>
      </c>
      <c r="H142" s="4">
        <v>474</v>
      </c>
      <c r="I142" s="4">
        <v>484</v>
      </c>
      <c r="J142" s="4">
        <v>493</v>
      </c>
      <c r="K142" s="4">
        <v>503</v>
      </c>
      <c r="L142" s="4">
        <v>518</v>
      </c>
      <c r="M142" s="4">
        <v>518</v>
      </c>
      <c r="N142" s="4">
        <v>534</v>
      </c>
      <c r="O142" s="4">
        <v>535</v>
      </c>
      <c r="P142" s="4">
        <v>535</v>
      </c>
      <c r="Q142" s="4">
        <v>547</v>
      </c>
      <c r="R142" s="4">
        <v>563</v>
      </c>
      <c r="S142" s="4">
        <v>570</v>
      </c>
      <c r="T142" s="4">
        <v>573</v>
      </c>
      <c r="U142" s="4">
        <v>591</v>
      </c>
    </row>
    <row r="143" spans="2:21" x14ac:dyDescent="0.2">
      <c r="C143" s="3" t="s">
        <v>26</v>
      </c>
      <c r="D143" s="3"/>
      <c r="E143" s="4">
        <v>415</v>
      </c>
      <c r="F143" s="4">
        <v>413</v>
      </c>
      <c r="G143" s="4">
        <v>418</v>
      </c>
      <c r="H143" s="4">
        <v>418</v>
      </c>
      <c r="I143" s="4">
        <v>418</v>
      </c>
      <c r="J143" s="4">
        <v>425</v>
      </c>
      <c r="K143" s="4">
        <v>425</v>
      </c>
      <c r="L143" s="4">
        <v>427</v>
      </c>
      <c r="M143" s="4">
        <v>430</v>
      </c>
      <c r="N143" s="4">
        <v>432</v>
      </c>
      <c r="O143" s="4">
        <v>434</v>
      </c>
      <c r="P143" s="4">
        <v>438</v>
      </c>
      <c r="Q143" s="4">
        <v>442</v>
      </c>
      <c r="R143" s="4">
        <v>446</v>
      </c>
      <c r="S143" s="4">
        <v>449</v>
      </c>
      <c r="T143" s="4">
        <v>452</v>
      </c>
      <c r="U143" s="4">
        <v>454</v>
      </c>
    </row>
    <row r="144" spans="2:21" x14ac:dyDescent="0.2">
      <c r="C144" s="3" t="s">
        <v>27</v>
      </c>
      <c r="D144" s="3"/>
      <c r="E144" s="4">
        <v>107</v>
      </c>
      <c r="F144" s="4">
        <v>109</v>
      </c>
      <c r="G144" s="4">
        <v>109</v>
      </c>
      <c r="H144" s="4">
        <v>110</v>
      </c>
      <c r="I144" s="4">
        <v>109</v>
      </c>
      <c r="J144" s="4">
        <v>110</v>
      </c>
      <c r="K144" s="4">
        <v>110</v>
      </c>
      <c r="L144" s="4">
        <v>112</v>
      </c>
      <c r="M144" s="4">
        <v>112</v>
      </c>
      <c r="N144" s="4">
        <v>111</v>
      </c>
      <c r="O144" s="4">
        <v>111</v>
      </c>
      <c r="P144" s="4">
        <v>112</v>
      </c>
      <c r="Q144" s="4">
        <v>112</v>
      </c>
      <c r="R144" s="4">
        <v>112</v>
      </c>
      <c r="S144" s="4">
        <v>112</v>
      </c>
      <c r="T144" s="4">
        <v>112</v>
      </c>
      <c r="U144" s="4">
        <v>113</v>
      </c>
    </row>
    <row r="145" spans="1:21" x14ac:dyDescent="0.2">
      <c r="B145" s="3" t="s">
        <v>42</v>
      </c>
      <c r="C145" s="3" t="s">
        <v>21</v>
      </c>
      <c r="D145" s="4"/>
      <c r="E145" s="4">
        <v>6</v>
      </c>
      <c r="F145" s="4">
        <v>6</v>
      </c>
      <c r="G145" s="4">
        <v>6</v>
      </c>
      <c r="H145" s="4">
        <v>7</v>
      </c>
      <c r="I145" s="4">
        <v>5</v>
      </c>
      <c r="J145" s="4">
        <v>5</v>
      </c>
      <c r="K145" s="4">
        <v>5</v>
      </c>
      <c r="L145" s="4">
        <v>5</v>
      </c>
      <c r="M145" s="4">
        <v>5</v>
      </c>
      <c r="N145" s="4">
        <v>5</v>
      </c>
      <c r="O145" s="4">
        <v>6</v>
      </c>
      <c r="P145" s="4">
        <v>5</v>
      </c>
      <c r="Q145" s="4">
        <v>6</v>
      </c>
      <c r="R145" s="4">
        <v>5</v>
      </c>
      <c r="S145" s="4">
        <v>5</v>
      </c>
      <c r="T145" s="4">
        <v>5</v>
      </c>
      <c r="U145" s="4">
        <v>5</v>
      </c>
    </row>
    <row r="146" spans="1:21" x14ac:dyDescent="0.2">
      <c r="C146" s="3" t="s">
        <v>22</v>
      </c>
      <c r="D146" s="4"/>
      <c r="E146" s="4">
        <v>39</v>
      </c>
      <c r="F146" s="4">
        <v>39</v>
      </c>
      <c r="G146" s="4">
        <v>37</v>
      </c>
      <c r="H146" s="4">
        <v>33</v>
      </c>
      <c r="I146" s="4">
        <v>32</v>
      </c>
      <c r="J146" s="4">
        <v>31</v>
      </c>
      <c r="K146" s="4">
        <v>31</v>
      </c>
      <c r="L146" s="4">
        <v>30</v>
      </c>
      <c r="M146" s="4">
        <v>30</v>
      </c>
      <c r="N146" s="4">
        <v>31</v>
      </c>
      <c r="O146" s="4">
        <v>30</v>
      </c>
      <c r="P146" s="4">
        <v>32</v>
      </c>
      <c r="Q146" s="4">
        <v>38</v>
      </c>
      <c r="R146" s="4">
        <v>38</v>
      </c>
      <c r="S146" s="4">
        <v>37</v>
      </c>
      <c r="T146" s="4">
        <v>39</v>
      </c>
      <c r="U146" s="4">
        <v>40</v>
      </c>
    </row>
    <row r="147" spans="1:21" x14ac:dyDescent="0.2">
      <c r="C147" s="3" t="s">
        <v>23</v>
      </c>
      <c r="D147" s="4"/>
      <c r="E147" s="4">
        <v>161</v>
      </c>
      <c r="F147" s="4">
        <v>164</v>
      </c>
      <c r="G147" s="4">
        <v>163</v>
      </c>
      <c r="H147" s="4">
        <v>163</v>
      </c>
      <c r="I147" s="4">
        <v>166</v>
      </c>
      <c r="J147" s="4">
        <v>166</v>
      </c>
      <c r="K147" s="4">
        <v>163</v>
      </c>
      <c r="L147" s="4">
        <v>163</v>
      </c>
      <c r="M147" s="4">
        <v>164</v>
      </c>
      <c r="N147" s="4">
        <v>163</v>
      </c>
      <c r="O147" s="4">
        <v>166</v>
      </c>
      <c r="P147" s="4">
        <v>167</v>
      </c>
      <c r="Q147" s="4">
        <v>173</v>
      </c>
      <c r="R147" s="4">
        <v>177</v>
      </c>
      <c r="S147" s="4">
        <v>177</v>
      </c>
      <c r="T147" s="4">
        <v>181</v>
      </c>
      <c r="U147" s="4">
        <v>186</v>
      </c>
    </row>
    <row r="148" spans="1:21" x14ac:dyDescent="0.2">
      <c r="C148" s="3" t="s">
        <v>24</v>
      </c>
      <c r="D148" s="4"/>
      <c r="E148" s="4">
        <v>55</v>
      </c>
      <c r="F148" s="4">
        <v>54</v>
      </c>
      <c r="G148" s="4">
        <v>55</v>
      </c>
      <c r="H148" s="4">
        <v>55</v>
      </c>
      <c r="I148" s="4">
        <v>56</v>
      </c>
      <c r="J148" s="4">
        <v>54</v>
      </c>
      <c r="K148" s="4">
        <v>54</v>
      </c>
      <c r="L148" s="4">
        <v>56</v>
      </c>
      <c r="M148" s="4">
        <v>57</v>
      </c>
      <c r="N148" s="4">
        <v>59</v>
      </c>
      <c r="O148" s="4">
        <v>58</v>
      </c>
      <c r="P148" s="4">
        <v>57</v>
      </c>
      <c r="Q148" s="4">
        <v>58</v>
      </c>
      <c r="R148" s="4">
        <v>58</v>
      </c>
      <c r="S148" s="4">
        <v>62</v>
      </c>
      <c r="T148" s="4">
        <v>68</v>
      </c>
      <c r="U148" s="4">
        <v>71</v>
      </c>
    </row>
    <row r="149" spans="1:21" x14ac:dyDescent="0.2">
      <c r="C149" s="3" t="s">
        <v>25</v>
      </c>
      <c r="D149" s="4"/>
      <c r="E149" s="4">
        <v>35</v>
      </c>
      <c r="F149" s="4">
        <v>35</v>
      </c>
      <c r="G149" s="4">
        <v>35</v>
      </c>
      <c r="H149" s="4">
        <v>34</v>
      </c>
      <c r="I149" s="4">
        <v>35</v>
      </c>
      <c r="J149" s="4">
        <v>37</v>
      </c>
      <c r="K149" s="4">
        <v>36</v>
      </c>
      <c r="L149" s="4">
        <v>37</v>
      </c>
      <c r="M149" s="4">
        <v>39</v>
      </c>
      <c r="N149" s="4">
        <v>40</v>
      </c>
      <c r="O149" s="4">
        <v>40</v>
      </c>
      <c r="P149" s="4">
        <v>41</v>
      </c>
      <c r="Q149" s="4">
        <v>42</v>
      </c>
      <c r="R149" s="4">
        <v>44</v>
      </c>
      <c r="S149" s="4">
        <v>44</v>
      </c>
      <c r="T149" s="4">
        <v>46</v>
      </c>
      <c r="U149" s="4">
        <v>46</v>
      </c>
    </row>
    <row r="150" spans="1:21" x14ac:dyDescent="0.2">
      <c r="C150" s="3" t="s">
        <v>26</v>
      </c>
      <c r="D150" s="4"/>
      <c r="E150" s="4">
        <v>7</v>
      </c>
      <c r="F150" s="4">
        <v>7</v>
      </c>
      <c r="G150" s="4">
        <v>7</v>
      </c>
      <c r="H150" s="4">
        <v>7</v>
      </c>
      <c r="I150" s="4">
        <v>7</v>
      </c>
      <c r="J150" s="4">
        <v>7</v>
      </c>
      <c r="K150" s="4">
        <v>7</v>
      </c>
      <c r="L150" s="4">
        <v>7</v>
      </c>
      <c r="M150" s="4">
        <v>8</v>
      </c>
      <c r="N150" s="4">
        <v>8</v>
      </c>
      <c r="O150" s="4">
        <v>8</v>
      </c>
      <c r="P150" s="4">
        <v>9</v>
      </c>
      <c r="Q150" s="4">
        <v>11</v>
      </c>
      <c r="R150" s="4">
        <v>12</v>
      </c>
      <c r="S150" s="4">
        <v>12</v>
      </c>
      <c r="T150" s="4">
        <v>12</v>
      </c>
      <c r="U150" s="4">
        <v>12</v>
      </c>
    </row>
    <row r="151" spans="1:21" x14ac:dyDescent="0.2">
      <c r="C151" s="3" t="s">
        <v>27</v>
      </c>
      <c r="D151" s="4"/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</row>
    <row r="152" spans="1:21" x14ac:dyDescent="0.2">
      <c r="C152" s="3"/>
      <c r="D152" s="3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 x14ac:dyDescent="0.2">
      <c r="A153" s="3" t="s">
        <v>35</v>
      </c>
      <c r="B153" s="3" t="s">
        <v>20</v>
      </c>
      <c r="C153" s="3" t="s">
        <v>21</v>
      </c>
      <c r="D153" s="3"/>
      <c r="E153" s="4">
        <v>1654</v>
      </c>
      <c r="F153" s="4">
        <v>1698</v>
      </c>
      <c r="G153" s="4">
        <v>1779</v>
      </c>
      <c r="H153" s="4">
        <v>1822</v>
      </c>
      <c r="I153" s="4">
        <v>1868</v>
      </c>
      <c r="J153" s="4">
        <v>1936</v>
      </c>
      <c r="K153" s="4">
        <v>1985</v>
      </c>
      <c r="L153" s="4">
        <v>2068</v>
      </c>
      <c r="M153" s="4">
        <v>2165</v>
      </c>
      <c r="N153" s="4">
        <v>2144</v>
      </c>
      <c r="O153" s="4">
        <v>2214</v>
      </c>
      <c r="P153" s="4">
        <v>2252</v>
      </c>
      <c r="Q153" s="4">
        <v>2343</v>
      </c>
      <c r="R153" s="4">
        <v>2408</v>
      </c>
      <c r="S153" s="4">
        <v>2523</v>
      </c>
      <c r="T153" s="4">
        <v>2564</v>
      </c>
      <c r="U153" s="4">
        <v>2699</v>
      </c>
    </row>
    <row r="154" spans="1:21" x14ac:dyDescent="0.2">
      <c r="C154" s="3" t="s">
        <v>22</v>
      </c>
      <c r="D154" s="3"/>
      <c r="E154" s="4">
        <v>1820</v>
      </c>
      <c r="F154" s="4">
        <v>1837</v>
      </c>
      <c r="G154" s="4">
        <v>1873</v>
      </c>
      <c r="H154" s="4">
        <v>1864</v>
      </c>
      <c r="I154" s="4">
        <v>1932</v>
      </c>
      <c r="J154" s="4">
        <v>1965</v>
      </c>
      <c r="K154" s="4">
        <v>1998</v>
      </c>
      <c r="L154" s="4">
        <v>2020</v>
      </c>
      <c r="M154" s="4">
        <v>2039</v>
      </c>
      <c r="N154" s="4">
        <v>1963</v>
      </c>
      <c r="O154" s="4">
        <v>1977</v>
      </c>
      <c r="P154" s="4">
        <v>1999</v>
      </c>
      <c r="Q154" s="4">
        <v>1995</v>
      </c>
      <c r="R154" s="4">
        <v>1993</v>
      </c>
      <c r="S154" s="4">
        <v>2034</v>
      </c>
      <c r="T154" s="4">
        <v>1757</v>
      </c>
      <c r="U154" s="4">
        <v>1781</v>
      </c>
    </row>
    <row r="155" spans="1:21" x14ac:dyDescent="0.2">
      <c r="C155" s="3" t="s">
        <v>23</v>
      </c>
      <c r="D155" s="3"/>
      <c r="E155" s="4">
        <v>1790</v>
      </c>
      <c r="F155" s="4">
        <v>1877</v>
      </c>
      <c r="G155" s="4">
        <v>1906</v>
      </c>
      <c r="H155" s="4">
        <v>1884</v>
      </c>
      <c r="I155" s="4">
        <v>1943</v>
      </c>
      <c r="J155" s="4">
        <v>2040</v>
      </c>
      <c r="K155" s="4">
        <v>2087</v>
      </c>
      <c r="L155" s="4">
        <v>2082</v>
      </c>
      <c r="M155" s="4">
        <v>2115</v>
      </c>
      <c r="N155" s="4">
        <v>2065</v>
      </c>
      <c r="O155" s="4">
        <v>2049</v>
      </c>
      <c r="P155" s="4">
        <v>2049</v>
      </c>
      <c r="Q155" s="4">
        <v>2051</v>
      </c>
      <c r="R155" s="4">
        <v>2051</v>
      </c>
      <c r="S155" s="4">
        <v>2047</v>
      </c>
      <c r="T155" s="4">
        <v>1388</v>
      </c>
      <c r="U155" s="4">
        <v>1404</v>
      </c>
    </row>
    <row r="156" spans="1:21" x14ac:dyDescent="0.2">
      <c r="C156" s="3" t="s">
        <v>24</v>
      </c>
      <c r="D156" s="3"/>
      <c r="E156" s="4">
        <v>456</v>
      </c>
      <c r="F156" s="4">
        <v>470</v>
      </c>
      <c r="G156" s="4">
        <v>474</v>
      </c>
      <c r="H156" s="4">
        <v>476</v>
      </c>
      <c r="I156" s="4">
        <v>475</v>
      </c>
      <c r="J156" s="4">
        <v>477</v>
      </c>
      <c r="K156" s="4">
        <v>489</v>
      </c>
      <c r="L156" s="4">
        <v>496</v>
      </c>
      <c r="M156" s="4">
        <v>509</v>
      </c>
      <c r="N156" s="4">
        <v>527</v>
      </c>
      <c r="O156" s="4">
        <v>529</v>
      </c>
      <c r="P156" s="4">
        <v>529</v>
      </c>
      <c r="Q156" s="4">
        <v>541</v>
      </c>
      <c r="R156" s="4">
        <v>549</v>
      </c>
      <c r="S156" s="4">
        <v>561</v>
      </c>
      <c r="T156" s="4">
        <v>284</v>
      </c>
      <c r="U156" s="4">
        <v>283</v>
      </c>
    </row>
    <row r="157" spans="1:21" x14ac:dyDescent="0.2">
      <c r="C157" s="3" t="s">
        <v>25</v>
      </c>
      <c r="D157" s="3"/>
      <c r="E157" s="4">
        <v>259</v>
      </c>
      <c r="F157" s="4">
        <v>259</v>
      </c>
      <c r="G157" s="4">
        <v>262</v>
      </c>
      <c r="H157" s="4">
        <v>272</v>
      </c>
      <c r="I157" s="4">
        <v>276</v>
      </c>
      <c r="J157" s="4">
        <v>286</v>
      </c>
      <c r="K157" s="4">
        <v>291</v>
      </c>
      <c r="L157" s="4">
        <v>293</v>
      </c>
      <c r="M157" s="4">
        <v>300</v>
      </c>
      <c r="N157" s="4">
        <v>298</v>
      </c>
      <c r="O157" s="4">
        <v>296</v>
      </c>
      <c r="P157" s="4">
        <v>296</v>
      </c>
      <c r="Q157" s="4">
        <v>294</v>
      </c>
      <c r="R157" s="4">
        <v>295</v>
      </c>
      <c r="S157" s="4">
        <v>294</v>
      </c>
      <c r="T157" s="4">
        <v>56</v>
      </c>
      <c r="U157" s="4">
        <v>52</v>
      </c>
    </row>
    <row r="158" spans="1:21" x14ac:dyDescent="0.2">
      <c r="C158" s="3" t="s">
        <v>26</v>
      </c>
      <c r="D158" s="3"/>
      <c r="E158" s="4">
        <v>135</v>
      </c>
      <c r="F158" s="4">
        <v>133</v>
      </c>
      <c r="G158" s="4">
        <v>141</v>
      </c>
      <c r="H158" s="4">
        <v>152</v>
      </c>
      <c r="I158" s="4">
        <v>151</v>
      </c>
      <c r="J158" s="4">
        <v>156</v>
      </c>
      <c r="K158" s="4">
        <v>157</v>
      </c>
      <c r="L158" s="4">
        <v>158</v>
      </c>
      <c r="M158" s="4">
        <v>161</v>
      </c>
      <c r="N158" s="4">
        <v>165</v>
      </c>
      <c r="O158" s="4">
        <v>164</v>
      </c>
      <c r="P158" s="4">
        <v>158</v>
      </c>
      <c r="Q158" s="4">
        <v>157</v>
      </c>
      <c r="R158" s="4">
        <v>160</v>
      </c>
      <c r="S158" s="4">
        <v>160</v>
      </c>
      <c r="T158" s="4">
        <v>23</v>
      </c>
      <c r="U158" s="4">
        <v>21</v>
      </c>
    </row>
    <row r="159" spans="1:21" x14ac:dyDescent="0.2">
      <c r="C159" s="3" t="s">
        <v>27</v>
      </c>
      <c r="D159" s="3"/>
      <c r="E159" s="4">
        <v>57</v>
      </c>
      <c r="F159" s="4">
        <v>58</v>
      </c>
      <c r="G159" s="4">
        <v>58</v>
      </c>
      <c r="H159" s="4">
        <v>46</v>
      </c>
      <c r="I159" s="4">
        <v>46</v>
      </c>
      <c r="J159" s="4">
        <v>46</v>
      </c>
      <c r="K159" s="4">
        <v>46</v>
      </c>
      <c r="L159" s="4">
        <v>46</v>
      </c>
      <c r="M159" s="4">
        <v>45</v>
      </c>
      <c r="N159" s="4">
        <v>47</v>
      </c>
      <c r="O159" s="4">
        <v>49</v>
      </c>
      <c r="P159" s="4">
        <v>48</v>
      </c>
      <c r="Q159" s="4">
        <v>49</v>
      </c>
      <c r="R159" s="4">
        <v>49</v>
      </c>
      <c r="S159" s="4">
        <v>49</v>
      </c>
      <c r="T159" s="4">
        <v>9</v>
      </c>
      <c r="U159" s="4">
        <v>9</v>
      </c>
    </row>
    <row r="160" spans="1:21" x14ac:dyDescent="0.2">
      <c r="B160" s="3" t="s">
        <v>28</v>
      </c>
      <c r="C160" s="3" t="s">
        <v>21</v>
      </c>
      <c r="D160" s="3"/>
      <c r="E160" s="4">
        <v>21</v>
      </c>
      <c r="F160" s="4">
        <v>21</v>
      </c>
      <c r="G160" s="4">
        <v>21</v>
      </c>
      <c r="H160" s="4">
        <v>21</v>
      </c>
      <c r="I160" s="4">
        <v>21</v>
      </c>
      <c r="J160" s="4">
        <v>22</v>
      </c>
      <c r="K160" s="4">
        <v>25</v>
      </c>
      <c r="L160" s="4">
        <v>22</v>
      </c>
      <c r="M160" s="4">
        <v>22</v>
      </c>
      <c r="N160" s="4">
        <v>22</v>
      </c>
      <c r="O160" s="4">
        <v>22</v>
      </c>
      <c r="P160" s="4">
        <v>21</v>
      </c>
      <c r="Q160" s="4">
        <v>33</v>
      </c>
      <c r="R160" s="4">
        <v>43</v>
      </c>
      <c r="S160" s="4">
        <v>43</v>
      </c>
      <c r="T160" s="4">
        <v>23</v>
      </c>
      <c r="U160" s="4">
        <v>23</v>
      </c>
    </row>
    <row r="161" spans="2:21" x14ac:dyDescent="0.2">
      <c r="C161" s="3" t="s">
        <v>22</v>
      </c>
      <c r="D161" s="3"/>
      <c r="E161" s="4">
        <v>6</v>
      </c>
      <c r="F161" s="4">
        <v>6</v>
      </c>
      <c r="G161" s="4">
        <v>6</v>
      </c>
      <c r="H161" s="4">
        <v>12</v>
      </c>
      <c r="I161" s="4">
        <v>12</v>
      </c>
      <c r="J161" s="4">
        <v>12</v>
      </c>
      <c r="K161" s="4">
        <v>12</v>
      </c>
      <c r="L161" s="4">
        <v>12</v>
      </c>
      <c r="M161" s="4">
        <v>12</v>
      </c>
      <c r="N161" s="4">
        <v>13</v>
      </c>
      <c r="O161" s="4">
        <v>13</v>
      </c>
      <c r="P161" s="4">
        <v>13</v>
      </c>
      <c r="Q161" s="4">
        <v>13</v>
      </c>
      <c r="R161" s="4">
        <v>5</v>
      </c>
      <c r="S161" s="4">
        <v>5</v>
      </c>
      <c r="T161" s="4">
        <v>0</v>
      </c>
      <c r="U161" s="4">
        <v>0</v>
      </c>
    </row>
    <row r="162" spans="2:21" x14ac:dyDescent="0.2">
      <c r="C162" s="3" t="s">
        <v>23</v>
      </c>
      <c r="D162" s="3"/>
      <c r="E162" s="4">
        <v>8</v>
      </c>
      <c r="F162" s="4">
        <v>9</v>
      </c>
      <c r="G162" s="4">
        <v>9</v>
      </c>
      <c r="H162" s="4">
        <v>8</v>
      </c>
      <c r="I162" s="4">
        <v>8</v>
      </c>
      <c r="J162" s="4">
        <v>8</v>
      </c>
      <c r="K162" s="4">
        <v>9</v>
      </c>
      <c r="L162" s="4">
        <v>7</v>
      </c>
      <c r="M162" s="4">
        <v>7</v>
      </c>
      <c r="N162" s="4">
        <v>7</v>
      </c>
      <c r="O162" s="4">
        <v>9</v>
      </c>
      <c r="P162" s="4">
        <v>8</v>
      </c>
      <c r="Q162" s="4">
        <v>8</v>
      </c>
      <c r="R162" s="4">
        <v>7</v>
      </c>
      <c r="S162" s="4">
        <v>10</v>
      </c>
      <c r="T162" s="4">
        <v>2</v>
      </c>
      <c r="U162" s="4">
        <v>2</v>
      </c>
    </row>
    <row r="163" spans="2:21" x14ac:dyDescent="0.2">
      <c r="C163" s="3" t="s">
        <v>24</v>
      </c>
      <c r="D163" s="3"/>
      <c r="E163" s="4">
        <v>19</v>
      </c>
      <c r="F163" s="4">
        <v>18</v>
      </c>
      <c r="G163" s="4">
        <v>18</v>
      </c>
      <c r="H163" s="4">
        <v>15</v>
      </c>
      <c r="I163" s="4">
        <v>15</v>
      </c>
      <c r="J163" s="4">
        <v>15</v>
      </c>
      <c r="K163" s="4">
        <v>15</v>
      </c>
      <c r="L163" s="4">
        <v>15</v>
      </c>
      <c r="M163" s="4">
        <v>15</v>
      </c>
      <c r="N163" s="4">
        <v>18</v>
      </c>
      <c r="O163" s="4">
        <v>17</v>
      </c>
      <c r="P163" s="4">
        <v>17</v>
      </c>
      <c r="Q163" s="4">
        <v>16</v>
      </c>
      <c r="R163" s="4">
        <v>17</v>
      </c>
      <c r="S163" s="4">
        <v>17</v>
      </c>
      <c r="T163" s="4">
        <v>6</v>
      </c>
      <c r="U163" s="4">
        <v>6</v>
      </c>
    </row>
    <row r="164" spans="2:21" x14ac:dyDescent="0.2">
      <c r="C164" s="3" t="s">
        <v>25</v>
      </c>
      <c r="D164" s="3"/>
      <c r="E164" s="4">
        <v>6</v>
      </c>
      <c r="F164" s="4">
        <v>6</v>
      </c>
      <c r="G164" s="4">
        <v>6</v>
      </c>
      <c r="H164" s="4">
        <v>8</v>
      </c>
      <c r="I164" s="4">
        <v>8</v>
      </c>
      <c r="J164" s="4">
        <v>8</v>
      </c>
      <c r="K164" s="4">
        <v>9</v>
      </c>
      <c r="L164" s="4">
        <v>8</v>
      </c>
      <c r="M164" s="4">
        <v>8</v>
      </c>
      <c r="N164" s="4">
        <v>8</v>
      </c>
      <c r="O164" s="4">
        <v>7</v>
      </c>
      <c r="P164" s="4">
        <v>7</v>
      </c>
      <c r="Q164" s="4">
        <v>7</v>
      </c>
      <c r="R164" s="4">
        <v>7</v>
      </c>
      <c r="S164" s="4">
        <v>7</v>
      </c>
      <c r="T164" s="4">
        <v>0</v>
      </c>
      <c r="U164" s="4">
        <v>0</v>
      </c>
    </row>
    <row r="165" spans="2:21" x14ac:dyDescent="0.2">
      <c r="C165" s="3" t="s">
        <v>26</v>
      </c>
      <c r="D165" s="3"/>
      <c r="E165" s="4">
        <v>21</v>
      </c>
      <c r="F165" s="4">
        <v>22</v>
      </c>
      <c r="G165" s="4">
        <v>22</v>
      </c>
      <c r="H165" s="4">
        <v>34</v>
      </c>
      <c r="I165" s="4">
        <v>33</v>
      </c>
      <c r="J165" s="4">
        <v>33</v>
      </c>
      <c r="K165" s="4">
        <v>33</v>
      </c>
      <c r="L165" s="4">
        <v>33</v>
      </c>
      <c r="M165" s="4">
        <v>33</v>
      </c>
      <c r="N165" s="4">
        <v>34</v>
      </c>
      <c r="O165" s="4">
        <v>34</v>
      </c>
      <c r="P165" s="4">
        <v>34</v>
      </c>
      <c r="Q165" s="4">
        <v>35</v>
      </c>
      <c r="R165" s="4">
        <v>36</v>
      </c>
      <c r="S165" s="4">
        <v>36</v>
      </c>
      <c r="T165" s="4">
        <v>1</v>
      </c>
      <c r="U165" s="4">
        <v>1</v>
      </c>
    </row>
    <row r="166" spans="2:21" x14ac:dyDescent="0.2">
      <c r="C166" s="3" t="s">
        <v>27</v>
      </c>
      <c r="D166" s="3"/>
      <c r="E166" s="4">
        <v>32</v>
      </c>
      <c r="F166" s="4">
        <v>32</v>
      </c>
      <c r="G166" s="4">
        <v>32</v>
      </c>
      <c r="H166" s="4">
        <v>20</v>
      </c>
      <c r="I166" s="4">
        <v>20</v>
      </c>
      <c r="J166" s="4">
        <v>20</v>
      </c>
      <c r="K166" s="4">
        <v>20</v>
      </c>
      <c r="L166" s="4">
        <v>20</v>
      </c>
      <c r="M166" s="4">
        <v>20</v>
      </c>
      <c r="N166" s="4">
        <v>20</v>
      </c>
      <c r="O166" s="4">
        <v>20</v>
      </c>
      <c r="P166" s="4">
        <v>20</v>
      </c>
      <c r="Q166" s="4">
        <v>20</v>
      </c>
      <c r="R166" s="4">
        <v>20</v>
      </c>
      <c r="S166" s="4">
        <v>20</v>
      </c>
      <c r="T166" s="4">
        <v>1</v>
      </c>
      <c r="U166" s="4">
        <v>1</v>
      </c>
    </row>
    <row r="167" spans="2:21" x14ac:dyDescent="0.2">
      <c r="B167" s="3" t="s">
        <v>29</v>
      </c>
      <c r="C167" s="3" t="s">
        <v>21</v>
      </c>
      <c r="D167" s="3"/>
      <c r="E167" s="4">
        <v>90</v>
      </c>
      <c r="F167" s="4">
        <v>93</v>
      </c>
      <c r="G167" s="4">
        <v>100</v>
      </c>
      <c r="H167" s="4">
        <v>100</v>
      </c>
      <c r="I167" s="4">
        <v>104</v>
      </c>
      <c r="J167" s="4">
        <v>108</v>
      </c>
      <c r="K167" s="4">
        <v>111</v>
      </c>
      <c r="L167" s="4">
        <v>111</v>
      </c>
      <c r="M167" s="4">
        <v>119</v>
      </c>
      <c r="N167" s="4">
        <v>116</v>
      </c>
      <c r="O167" s="4">
        <v>120</v>
      </c>
      <c r="P167" s="4">
        <v>121</v>
      </c>
      <c r="Q167" s="4">
        <v>129</v>
      </c>
      <c r="R167" s="4">
        <v>128</v>
      </c>
      <c r="S167" s="4">
        <v>130</v>
      </c>
      <c r="T167" s="4">
        <v>128</v>
      </c>
      <c r="U167" s="4">
        <v>129</v>
      </c>
    </row>
    <row r="168" spans="2:21" x14ac:dyDescent="0.2">
      <c r="C168" s="3" t="s">
        <v>22</v>
      </c>
      <c r="D168" s="3"/>
      <c r="E168" s="4">
        <v>67</v>
      </c>
      <c r="F168" s="4">
        <v>69</v>
      </c>
      <c r="G168" s="4">
        <v>68</v>
      </c>
      <c r="H168" s="4">
        <v>68</v>
      </c>
      <c r="I168" s="4">
        <v>64</v>
      </c>
      <c r="J168" s="4">
        <v>70</v>
      </c>
      <c r="K168" s="4">
        <v>72</v>
      </c>
      <c r="L168" s="4">
        <v>73</v>
      </c>
      <c r="M168" s="4">
        <v>71</v>
      </c>
      <c r="N168" s="4">
        <v>71</v>
      </c>
      <c r="O168" s="4">
        <v>71</v>
      </c>
      <c r="P168" s="4">
        <v>67</v>
      </c>
      <c r="Q168" s="4">
        <v>66</v>
      </c>
      <c r="R168" s="4">
        <v>64</v>
      </c>
      <c r="S168" s="4">
        <v>67</v>
      </c>
      <c r="T168" s="4">
        <v>68</v>
      </c>
      <c r="U168" s="4">
        <v>65</v>
      </c>
    </row>
    <row r="169" spans="2:21" x14ac:dyDescent="0.2">
      <c r="C169" s="3" t="s">
        <v>23</v>
      </c>
      <c r="D169" s="3"/>
      <c r="E169" s="4">
        <v>99</v>
      </c>
      <c r="F169" s="4">
        <v>99</v>
      </c>
      <c r="G169" s="4">
        <v>97</v>
      </c>
      <c r="H169" s="4">
        <v>97</v>
      </c>
      <c r="I169" s="4">
        <v>97</v>
      </c>
      <c r="J169" s="4">
        <v>101</v>
      </c>
      <c r="K169" s="4">
        <v>108</v>
      </c>
      <c r="L169" s="4">
        <v>111</v>
      </c>
      <c r="M169" s="4">
        <v>112</v>
      </c>
      <c r="N169" s="4">
        <v>113</v>
      </c>
      <c r="O169" s="4">
        <v>111</v>
      </c>
      <c r="P169" s="4">
        <v>113</v>
      </c>
      <c r="Q169" s="4">
        <v>115</v>
      </c>
      <c r="R169" s="4">
        <v>118</v>
      </c>
      <c r="S169" s="4">
        <v>118</v>
      </c>
      <c r="T169" s="4">
        <v>68</v>
      </c>
      <c r="U169" s="4">
        <v>67</v>
      </c>
    </row>
    <row r="170" spans="2:21" x14ac:dyDescent="0.2">
      <c r="C170" s="3" t="s">
        <v>24</v>
      </c>
      <c r="D170" s="3"/>
      <c r="E170" s="4">
        <v>50</v>
      </c>
      <c r="F170" s="4">
        <v>50</v>
      </c>
      <c r="G170" s="4">
        <v>51</v>
      </c>
      <c r="H170" s="4">
        <v>51</v>
      </c>
      <c r="I170" s="4">
        <v>50</v>
      </c>
      <c r="J170" s="4">
        <v>52</v>
      </c>
      <c r="K170" s="4">
        <v>53</v>
      </c>
      <c r="L170" s="4">
        <v>53</v>
      </c>
      <c r="M170" s="4">
        <v>55</v>
      </c>
      <c r="N170" s="4">
        <v>55</v>
      </c>
      <c r="O170" s="4">
        <v>55</v>
      </c>
      <c r="P170" s="4">
        <v>55</v>
      </c>
      <c r="Q170" s="4">
        <v>55</v>
      </c>
      <c r="R170" s="4">
        <v>55</v>
      </c>
      <c r="S170" s="4">
        <v>56</v>
      </c>
      <c r="T170" s="4">
        <v>16</v>
      </c>
      <c r="U170" s="4">
        <v>16</v>
      </c>
    </row>
    <row r="171" spans="2:21" x14ac:dyDescent="0.2">
      <c r="C171" s="3" t="s">
        <v>25</v>
      </c>
      <c r="D171" s="3"/>
      <c r="E171" s="4">
        <v>21</v>
      </c>
      <c r="F171" s="4">
        <v>21</v>
      </c>
      <c r="G171" s="4">
        <v>22</v>
      </c>
      <c r="H171" s="4">
        <v>22</v>
      </c>
      <c r="I171" s="4">
        <v>22</v>
      </c>
      <c r="J171" s="4">
        <v>22</v>
      </c>
      <c r="K171" s="4">
        <v>23</v>
      </c>
      <c r="L171" s="4">
        <v>22</v>
      </c>
      <c r="M171" s="4">
        <v>22</v>
      </c>
      <c r="N171" s="4">
        <v>23</v>
      </c>
      <c r="O171" s="4">
        <v>22</v>
      </c>
      <c r="P171" s="4">
        <v>22</v>
      </c>
      <c r="Q171" s="4">
        <v>22</v>
      </c>
      <c r="R171" s="4">
        <v>23</v>
      </c>
      <c r="S171" s="4">
        <v>24</v>
      </c>
      <c r="T171" s="4">
        <v>3</v>
      </c>
      <c r="U171" s="4">
        <v>1</v>
      </c>
    </row>
    <row r="172" spans="2:21" x14ac:dyDescent="0.2">
      <c r="C172" s="3" t="s">
        <v>26</v>
      </c>
      <c r="D172" s="3"/>
      <c r="E172" s="4">
        <v>16</v>
      </c>
      <c r="F172" s="4">
        <v>15</v>
      </c>
      <c r="G172" s="4">
        <v>17</v>
      </c>
      <c r="H172" s="4">
        <v>16</v>
      </c>
      <c r="I172" s="4">
        <v>15</v>
      </c>
      <c r="J172" s="4">
        <v>15</v>
      </c>
      <c r="K172" s="4">
        <v>15</v>
      </c>
      <c r="L172" s="4">
        <v>15</v>
      </c>
      <c r="M172" s="4">
        <v>15</v>
      </c>
      <c r="N172" s="4">
        <v>15</v>
      </c>
      <c r="O172" s="4">
        <v>15</v>
      </c>
      <c r="P172" s="4">
        <v>15</v>
      </c>
      <c r="Q172" s="4">
        <v>15</v>
      </c>
      <c r="R172" s="4">
        <v>15</v>
      </c>
      <c r="S172" s="4">
        <v>15</v>
      </c>
      <c r="T172" s="4">
        <v>1</v>
      </c>
      <c r="U172" s="4">
        <v>1</v>
      </c>
    </row>
    <row r="173" spans="2:21" x14ac:dyDescent="0.2">
      <c r="C173" s="3" t="s">
        <v>27</v>
      </c>
      <c r="D173" s="3"/>
      <c r="E173" s="4">
        <v>9</v>
      </c>
      <c r="F173" s="4">
        <v>9</v>
      </c>
      <c r="G173" s="4">
        <v>9</v>
      </c>
      <c r="H173" s="4">
        <v>9</v>
      </c>
      <c r="I173" s="4">
        <v>9</v>
      </c>
      <c r="J173" s="4">
        <v>9</v>
      </c>
      <c r="K173" s="4">
        <v>9</v>
      </c>
      <c r="L173" s="4">
        <v>9</v>
      </c>
      <c r="M173" s="4">
        <v>9</v>
      </c>
      <c r="N173" s="4">
        <v>9</v>
      </c>
      <c r="O173" s="4">
        <v>9</v>
      </c>
      <c r="P173" s="4">
        <v>9</v>
      </c>
      <c r="Q173" s="4">
        <v>9</v>
      </c>
      <c r="R173" s="4">
        <v>9</v>
      </c>
      <c r="S173" s="4">
        <v>9</v>
      </c>
      <c r="T173" s="4">
        <v>0</v>
      </c>
      <c r="U173" s="4">
        <v>1</v>
      </c>
    </row>
    <row r="174" spans="2:21" x14ac:dyDescent="0.2">
      <c r="B174" s="3" t="s">
        <v>30</v>
      </c>
      <c r="C174" s="3" t="s">
        <v>21</v>
      </c>
      <c r="D174" s="3"/>
      <c r="E174" s="4">
        <v>7</v>
      </c>
      <c r="F174" s="4">
        <v>7</v>
      </c>
      <c r="G174" s="4">
        <v>7</v>
      </c>
      <c r="H174" s="4">
        <v>7</v>
      </c>
      <c r="I174" s="4">
        <v>8</v>
      </c>
      <c r="J174" s="4">
        <v>8</v>
      </c>
      <c r="K174" s="4">
        <v>9</v>
      </c>
      <c r="L174" s="4">
        <v>9</v>
      </c>
      <c r="M174" s="4">
        <v>13</v>
      </c>
      <c r="N174" s="4">
        <v>13</v>
      </c>
      <c r="O174" s="4">
        <v>16</v>
      </c>
      <c r="P174" s="4">
        <v>14</v>
      </c>
      <c r="Q174" s="4">
        <v>15</v>
      </c>
      <c r="R174" s="4">
        <v>17</v>
      </c>
      <c r="S174" s="4">
        <v>17</v>
      </c>
      <c r="T174" s="4">
        <v>18</v>
      </c>
      <c r="U174" s="4">
        <v>18</v>
      </c>
    </row>
    <row r="175" spans="2:21" x14ac:dyDescent="0.2">
      <c r="C175" s="3" t="s">
        <v>22</v>
      </c>
      <c r="D175" s="3"/>
      <c r="E175" s="4">
        <v>2</v>
      </c>
      <c r="F175" s="4">
        <v>2</v>
      </c>
      <c r="G175" s="4">
        <v>2</v>
      </c>
      <c r="H175" s="4">
        <v>2</v>
      </c>
      <c r="I175" s="4">
        <v>2</v>
      </c>
      <c r="J175" s="4">
        <v>2</v>
      </c>
      <c r="K175" s="4">
        <v>3</v>
      </c>
      <c r="L175" s="4">
        <v>3</v>
      </c>
      <c r="M175" s="4">
        <v>4</v>
      </c>
      <c r="N175" s="4">
        <v>4</v>
      </c>
      <c r="O175" s="4">
        <v>4</v>
      </c>
      <c r="P175" s="4">
        <v>3</v>
      </c>
      <c r="Q175" s="4">
        <v>3</v>
      </c>
      <c r="R175" s="4">
        <v>2</v>
      </c>
      <c r="S175" s="4">
        <v>5</v>
      </c>
      <c r="T175" s="4">
        <v>5</v>
      </c>
      <c r="U175" s="4">
        <v>5</v>
      </c>
    </row>
    <row r="176" spans="2:21" x14ac:dyDescent="0.2">
      <c r="C176" s="3" t="s">
        <v>23</v>
      </c>
      <c r="D176" s="3"/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1</v>
      </c>
      <c r="L176" s="4">
        <v>2</v>
      </c>
      <c r="M176" s="4">
        <v>2</v>
      </c>
      <c r="N176" s="4">
        <v>2</v>
      </c>
      <c r="O176" s="4">
        <v>2</v>
      </c>
      <c r="P176" s="4">
        <v>2</v>
      </c>
      <c r="Q176" s="4">
        <v>2</v>
      </c>
      <c r="R176" s="4">
        <v>2</v>
      </c>
      <c r="S176" s="4">
        <v>2</v>
      </c>
      <c r="T176" s="4">
        <v>3</v>
      </c>
      <c r="U176" s="4">
        <v>3</v>
      </c>
    </row>
    <row r="177" spans="2:21" x14ac:dyDescent="0.2">
      <c r="C177" s="3" t="s">
        <v>24</v>
      </c>
      <c r="D177" s="3"/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</row>
    <row r="178" spans="2:21" x14ac:dyDescent="0.2">
      <c r="C178" s="3" t="s">
        <v>25</v>
      </c>
      <c r="D178" s="3"/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</row>
    <row r="179" spans="2:21" x14ac:dyDescent="0.2">
      <c r="C179" s="3" t="s">
        <v>26</v>
      </c>
      <c r="D179" s="3"/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</row>
    <row r="180" spans="2:21" x14ac:dyDescent="0.2">
      <c r="C180" s="3" t="s">
        <v>27</v>
      </c>
      <c r="D180" s="3"/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</row>
    <row r="181" spans="2:21" x14ac:dyDescent="0.2">
      <c r="B181" s="3" t="s">
        <v>31</v>
      </c>
      <c r="C181" s="3" t="s">
        <v>21</v>
      </c>
      <c r="D181" s="3"/>
      <c r="E181" s="4">
        <v>3</v>
      </c>
      <c r="F181" s="4">
        <v>3</v>
      </c>
      <c r="G181" s="4">
        <v>3</v>
      </c>
      <c r="H181" s="4">
        <v>3</v>
      </c>
      <c r="I181" s="4">
        <v>3</v>
      </c>
      <c r="J181" s="4">
        <v>3</v>
      </c>
      <c r="K181" s="4">
        <v>3</v>
      </c>
      <c r="L181" s="4">
        <v>2</v>
      </c>
      <c r="M181" s="4">
        <v>2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</row>
    <row r="182" spans="2:21" x14ac:dyDescent="0.2">
      <c r="C182" s="3" t="s">
        <v>22</v>
      </c>
      <c r="D182" s="3"/>
      <c r="E182" s="4">
        <v>3</v>
      </c>
      <c r="F182" s="4">
        <v>3</v>
      </c>
      <c r="G182" s="4">
        <v>3</v>
      </c>
      <c r="H182" s="4">
        <v>3</v>
      </c>
      <c r="I182" s="4">
        <v>3</v>
      </c>
      <c r="J182" s="4">
        <v>3</v>
      </c>
      <c r="K182" s="4">
        <v>4</v>
      </c>
      <c r="L182" s="4">
        <v>5</v>
      </c>
      <c r="M182" s="4">
        <v>5</v>
      </c>
      <c r="N182" s="4">
        <v>5</v>
      </c>
      <c r="O182" s="4">
        <v>5</v>
      </c>
      <c r="P182" s="4">
        <v>3</v>
      </c>
      <c r="Q182" s="4">
        <v>2</v>
      </c>
      <c r="R182" s="4">
        <v>2</v>
      </c>
      <c r="S182" s="4">
        <v>2</v>
      </c>
      <c r="T182" s="4">
        <v>2</v>
      </c>
      <c r="U182" s="4">
        <v>2</v>
      </c>
    </row>
    <row r="183" spans="2:21" x14ac:dyDescent="0.2">
      <c r="C183" s="3" t="s">
        <v>23</v>
      </c>
      <c r="D183" s="3"/>
      <c r="E183" s="4">
        <v>6</v>
      </c>
      <c r="F183" s="4">
        <v>7</v>
      </c>
      <c r="G183" s="4">
        <v>6</v>
      </c>
      <c r="H183" s="4">
        <v>6</v>
      </c>
      <c r="I183" s="4">
        <v>6</v>
      </c>
      <c r="J183" s="4">
        <v>6</v>
      </c>
      <c r="K183" s="4">
        <v>6</v>
      </c>
      <c r="L183" s="4">
        <v>5</v>
      </c>
      <c r="M183" s="4">
        <v>5</v>
      </c>
      <c r="N183" s="4">
        <v>6</v>
      </c>
      <c r="O183" s="4">
        <v>6</v>
      </c>
      <c r="P183" s="4">
        <v>6</v>
      </c>
      <c r="Q183" s="4">
        <v>6</v>
      </c>
      <c r="R183" s="4">
        <v>6</v>
      </c>
      <c r="S183" s="4">
        <v>6</v>
      </c>
      <c r="T183" s="4">
        <v>6</v>
      </c>
      <c r="U183" s="4">
        <v>6</v>
      </c>
    </row>
    <row r="184" spans="2:21" x14ac:dyDescent="0.2">
      <c r="C184" s="3" t="s">
        <v>24</v>
      </c>
      <c r="D184" s="3"/>
      <c r="E184" s="4">
        <v>1</v>
      </c>
      <c r="F184" s="4">
        <v>1</v>
      </c>
      <c r="G184" s="4">
        <v>1</v>
      </c>
      <c r="H184" s="4">
        <v>1</v>
      </c>
      <c r="I184" s="4">
        <v>1</v>
      </c>
      <c r="J184" s="4">
        <v>1</v>
      </c>
      <c r="K184" s="4">
        <v>1</v>
      </c>
      <c r="L184" s="4">
        <v>1</v>
      </c>
      <c r="M184" s="4">
        <v>1</v>
      </c>
      <c r="N184" s="4">
        <v>1</v>
      </c>
      <c r="O184" s="4">
        <v>1</v>
      </c>
      <c r="P184" s="4">
        <v>1</v>
      </c>
      <c r="Q184" s="4">
        <v>1</v>
      </c>
      <c r="R184" s="4">
        <v>1</v>
      </c>
      <c r="S184" s="4">
        <v>1</v>
      </c>
      <c r="T184" s="4">
        <v>1</v>
      </c>
      <c r="U184" s="4">
        <v>1</v>
      </c>
    </row>
    <row r="185" spans="2:21" x14ac:dyDescent="0.2">
      <c r="C185" s="3" t="s">
        <v>25</v>
      </c>
      <c r="D185" s="3"/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</row>
    <row r="186" spans="2:21" x14ac:dyDescent="0.2">
      <c r="C186" s="3" t="s">
        <v>26</v>
      </c>
      <c r="D186" s="3"/>
      <c r="E186" s="4">
        <v>2</v>
      </c>
      <c r="F186" s="4">
        <v>1</v>
      </c>
      <c r="G186" s="4">
        <v>1</v>
      </c>
      <c r="H186" s="4">
        <v>1</v>
      </c>
      <c r="I186" s="4">
        <v>1</v>
      </c>
      <c r="J186" s="4">
        <v>1</v>
      </c>
      <c r="K186" s="4">
        <v>1</v>
      </c>
      <c r="L186" s="4">
        <v>1</v>
      </c>
      <c r="M186" s="4">
        <v>1</v>
      </c>
      <c r="N186" s="4">
        <v>1</v>
      </c>
      <c r="O186" s="4">
        <v>1</v>
      </c>
      <c r="P186" s="4">
        <v>1</v>
      </c>
      <c r="Q186" s="4">
        <v>1</v>
      </c>
      <c r="R186" s="4">
        <v>1</v>
      </c>
      <c r="S186" s="4">
        <v>1</v>
      </c>
      <c r="T186" s="4">
        <v>1</v>
      </c>
      <c r="U186" s="4">
        <v>1</v>
      </c>
    </row>
    <row r="187" spans="2:21" x14ac:dyDescent="0.2">
      <c r="C187" s="3" t="s">
        <v>27</v>
      </c>
      <c r="D187" s="3"/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</row>
    <row r="188" spans="2:21" x14ac:dyDescent="0.2">
      <c r="B188" s="3" t="s">
        <v>32</v>
      </c>
      <c r="C188" s="3" t="s">
        <v>21</v>
      </c>
      <c r="D188" s="3"/>
      <c r="E188" s="4">
        <v>159</v>
      </c>
      <c r="F188" s="4">
        <v>159</v>
      </c>
      <c r="G188" s="4">
        <v>166</v>
      </c>
      <c r="H188" s="4">
        <v>170</v>
      </c>
      <c r="I188" s="4">
        <v>173</v>
      </c>
      <c r="J188" s="4">
        <v>176</v>
      </c>
      <c r="K188" s="4">
        <v>193</v>
      </c>
      <c r="L188" s="4">
        <v>205</v>
      </c>
      <c r="M188" s="4">
        <v>215</v>
      </c>
      <c r="N188" s="4">
        <v>215</v>
      </c>
      <c r="O188" s="4">
        <v>227</v>
      </c>
      <c r="P188" s="4">
        <v>225</v>
      </c>
      <c r="Q188" s="4">
        <v>229</v>
      </c>
      <c r="R188" s="4">
        <v>230</v>
      </c>
      <c r="S188" s="4">
        <v>241</v>
      </c>
      <c r="T188" s="4">
        <v>256</v>
      </c>
      <c r="U188" s="4">
        <v>266</v>
      </c>
    </row>
    <row r="189" spans="2:21" x14ac:dyDescent="0.2">
      <c r="C189" s="3" t="s">
        <v>22</v>
      </c>
      <c r="D189" s="3"/>
      <c r="E189" s="4">
        <v>93</v>
      </c>
      <c r="F189" s="4">
        <v>87</v>
      </c>
      <c r="G189" s="4">
        <v>90</v>
      </c>
      <c r="H189" s="4">
        <v>90</v>
      </c>
      <c r="I189" s="4">
        <v>97</v>
      </c>
      <c r="J189" s="4">
        <v>99</v>
      </c>
      <c r="K189" s="4">
        <v>98</v>
      </c>
      <c r="L189" s="4">
        <v>102</v>
      </c>
      <c r="M189" s="4">
        <v>99</v>
      </c>
      <c r="N189" s="4">
        <v>98</v>
      </c>
      <c r="O189" s="4">
        <v>106</v>
      </c>
      <c r="P189" s="4">
        <v>109</v>
      </c>
      <c r="Q189" s="4">
        <v>109</v>
      </c>
      <c r="R189" s="4">
        <v>110</v>
      </c>
      <c r="S189" s="4">
        <v>115</v>
      </c>
      <c r="T189" s="4">
        <v>112</v>
      </c>
      <c r="U189" s="4">
        <v>111</v>
      </c>
    </row>
    <row r="190" spans="2:21" x14ac:dyDescent="0.2">
      <c r="C190" s="3" t="s">
        <v>23</v>
      </c>
      <c r="D190" s="3"/>
      <c r="E190" s="4">
        <v>61</v>
      </c>
      <c r="F190" s="4">
        <v>52</v>
      </c>
      <c r="G190" s="4">
        <v>54</v>
      </c>
      <c r="H190" s="4">
        <v>52</v>
      </c>
      <c r="I190" s="4">
        <v>51</v>
      </c>
      <c r="J190" s="4">
        <v>54</v>
      </c>
      <c r="K190" s="4">
        <v>58</v>
      </c>
      <c r="L190" s="4">
        <v>58</v>
      </c>
      <c r="M190" s="4">
        <v>57</v>
      </c>
      <c r="N190" s="4">
        <v>60</v>
      </c>
      <c r="O190" s="4">
        <v>68</v>
      </c>
      <c r="P190" s="4">
        <v>70</v>
      </c>
      <c r="Q190" s="4">
        <v>69</v>
      </c>
      <c r="R190" s="4">
        <v>69</v>
      </c>
      <c r="S190" s="4">
        <v>72</v>
      </c>
      <c r="T190" s="4">
        <v>56</v>
      </c>
      <c r="U190" s="4">
        <v>60</v>
      </c>
    </row>
    <row r="191" spans="2:21" x14ac:dyDescent="0.2">
      <c r="C191" s="3" t="s">
        <v>24</v>
      </c>
      <c r="D191" s="3"/>
      <c r="E191" s="4">
        <v>17</v>
      </c>
      <c r="F191" s="4">
        <v>17</v>
      </c>
      <c r="G191" s="4">
        <v>18</v>
      </c>
      <c r="H191" s="4">
        <v>20</v>
      </c>
      <c r="I191" s="4">
        <v>18</v>
      </c>
      <c r="J191" s="4">
        <v>17</v>
      </c>
      <c r="K191" s="4">
        <v>16</v>
      </c>
      <c r="L191" s="4">
        <v>16</v>
      </c>
      <c r="M191" s="4">
        <v>16</v>
      </c>
      <c r="N191" s="4">
        <v>17</v>
      </c>
      <c r="O191" s="4">
        <v>16</v>
      </c>
      <c r="P191" s="4">
        <v>16</v>
      </c>
      <c r="Q191" s="4">
        <v>16</v>
      </c>
      <c r="R191" s="4">
        <v>16</v>
      </c>
      <c r="S191" s="4">
        <v>16</v>
      </c>
      <c r="T191" s="4">
        <v>10</v>
      </c>
      <c r="U191" s="4">
        <v>11</v>
      </c>
    </row>
    <row r="192" spans="2:21" x14ac:dyDescent="0.2">
      <c r="C192" s="3" t="s">
        <v>25</v>
      </c>
      <c r="D192" s="3"/>
      <c r="E192" s="4">
        <v>12</v>
      </c>
      <c r="F192" s="4">
        <v>11</v>
      </c>
      <c r="G192" s="4">
        <v>10</v>
      </c>
      <c r="H192" s="4">
        <v>10</v>
      </c>
      <c r="I192" s="4">
        <v>10</v>
      </c>
      <c r="J192" s="4">
        <v>10</v>
      </c>
      <c r="K192" s="4">
        <v>11</v>
      </c>
      <c r="L192" s="4">
        <v>11</v>
      </c>
      <c r="M192" s="4">
        <v>11</v>
      </c>
      <c r="N192" s="4">
        <v>10</v>
      </c>
      <c r="O192" s="4">
        <v>10</v>
      </c>
      <c r="P192" s="4">
        <v>10</v>
      </c>
      <c r="Q192" s="4">
        <v>10</v>
      </c>
      <c r="R192" s="4">
        <v>9</v>
      </c>
      <c r="S192" s="4">
        <v>10</v>
      </c>
      <c r="T192" s="4">
        <v>3</v>
      </c>
      <c r="U192" s="4">
        <v>3</v>
      </c>
    </row>
    <row r="193" spans="1:21" x14ac:dyDescent="0.2">
      <c r="C193" s="3" t="s">
        <v>26</v>
      </c>
      <c r="D193" s="3"/>
      <c r="E193" s="4">
        <v>2</v>
      </c>
      <c r="F193" s="4">
        <v>1</v>
      </c>
      <c r="G193" s="4">
        <v>2</v>
      </c>
      <c r="H193" s="4">
        <v>1</v>
      </c>
      <c r="I193" s="4">
        <v>1</v>
      </c>
      <c r="J193" s="4">
        <v>2</v>
      </c>
      <c r="K193" s="4">
        <v>2</v>
      </c>
      <c r="L193" s="4">
        <v>2</v>
      </c>
      <c r="M193" s="4">
        <v>2</v>
      </c>
      <c r="N193" s="4">
        <v>2</v>
      </c>
      <c r="O193" s="4">
        <v>2</v>
      </c>
      <c r="P193" s="4">
        <v>1</v>
      </c>
      <c r="Q193" s="4">
        <v>1</v>
      </c>
      <c r="R193" s="4">
        <v>1</v>
      </c>
      <c r="S193" s="4">
        <v>1</v>
      </c>
      <c r="T193" s="4">
        <v>1</v>
      </c>
      <c r="U193" s="4">
        <v>1</v>
      </c>
    </row>
    <row r="194" spans="1:21" x14ac:dyDescent="0.2">
      <c r="C194" s="3" t="s">
        <v>27</v>
      </c>
      <c r="D194" s="3"/>
      <c r="E194" s="4">
        <v>0</v>
      </c>
      <c r="F194" s="4">
        <v>1</v>
      </c>
      <c r="G194" s="4">
        <v>1</v>
      </c>
      <c r="H194" s="4">
        <v>1</v>
      </c>
      <c r="I194" s="4">
        <v>1</v>
      </c>
      <c r="J194" s="4">
        <v>1</v>
      </c>
      <c r="K194" s="4">
        <v>1</v>
      </c>
      <c r="L194" s="4">
        <v>1</v>
      </c>
      <c r="M194" s="4">
        <v>1</v>
      </c>
      <c r="N194" s="4">
        <v>1</v>
      </c>
      <c r="O194" s="4">
        <v>2</v>
      </c>
      <c r="P194" s="4">
        <v>2</v>
      </c>
      <c r="Q194" s="4">
        <v>2</v>
      </c>
      <c r="R194" s="4">
        <v>2</v>
      </c>
      <c r="S194" s="4">
        <v>1</v>
      </c>
      <c r="T194" s="4">
        <v>1</v>
      </c>
      <c r="U194" s="4">
        <v>1</v>
      </c>
    </row>
    <row r="195" spans="1:21" x14ac:dyDescent="0.2">
      <c r="B195" s="3" t="s">
        <v>42</v>
      </c>
      <c r="C195" s="3" t="s">
        <v>21</v>
      </c>
      <c r="D195" s="4"/>
      <c r="E195" s="4">
        <v>48</v>
      </c>
      <c r="F195" s="4">
        <v>49</v>
      </c>
      <c r="G195" s="4">
        <v>49</v>
      </c>
      <c r="H195" s="4">
        <v>50</v>
      </c>
      <c r="I195" s="4">
        <v>53</v>
      </c>
      <c r="J195" s="4">
        <v>52</v>
      </c>
      <c r="K195" s="4">
        <v>52</v>
      </c>
      <c r="L195" s="4">
        <v>57</v>
      </c>
      <c r="M195" s="4">
        <v>61</v>
      </c>
      <c r="N195" s="4">
        <v>58</v>
      </c>
      <c r="O195" s="4">
        <v>62</v>
      </c>
      <c r="P195" s="4">
        <v>68</v>
      </c>
      <c r="Q195" s="4">
        <v>81</v>
      </c>
      <c r="R195" s="4">
        <v>85</v>
      </c>
      <c r="S195" s="4">
        <v>86</v>
      </c>
      <c r="T195" s="4">
        <v>89</v>
      </c>
      <c r="U195" s="4">
        <v>96</v>
      </c>
    </row>
    <row r="196" spans="1:21" x14ac:dyDescent="0.2">
      <c r="C196" s="3" t="s">
        <v>22</v>
      </c>
      <c r="D196" s="4"/>
      <c r="E196" s="4">
        <v>17</v>
      </c>
      <c r="F196" s="4">
        <v>17</v>
      </c>
      <c r="G196" s="4">
        <v>17</v>
      </c>
      <c r="H196" s="4">
        <v>18</v>
      </c>
      <c r="I196" s="4">
        <v>22</v>
      </c>
      <c r="J196" s="4">
        <v>23</v>
      </c>
      <c r="K196" s="4">
        <v>25</v>
      </c>
      <c r="L196" s="4">
        <v>25</v>
      </c>
      <c r="M196" s="4">
        <v>26</v>
      </c>
      <c r="N196" s="4">
        <v>26</v>
      </c>
      <c r="O196" s="4">
        <v>24</v>
      </c>
      <c r="P196" s="4">
        <v>24</v>
      </c>
      <c r="Q196" s="4">
        <v>26</v>
      </c>
      <c r="R196" s="4">
        <v>27</v>
      </c>
      <c r="S196" s="4">
        <v>29</v>
      </c>
      <c r="T196" s="4">
        <v>22</v>
      </c>
      <c r="U196" s="4">
        <v>24</v>
      </c>
    </row>
    <row r="197" spans="1:21" x14ac:dyDescent="0.2">
      <c r="C197" s="3" t="s">
        <v>23</v>
      </c>
      <c r="D197" s="4"/>
      <c r="E197" s="4">
        <v>19</v>
      </c>
      <c r="F197" s="4">
        <v>21</v>
      </c>
      <c r="G197" s="4">
        <v>22</v>
      </c>
      <c r="H197" s="4">
        <v>21</v>
      </c>
      <c r="I197" s="4">
        <v>22</v>
      </c>
      <c r="J197" s="4">
        <v>23</v>
      </c>
      <c r="K197" s="4">
        <v>23</v>
      </c>
      <c r="L197" s="4">
        <v>22</v>
      </c>
      <c r="M197" s="4">
        <v>23</v>
      </c>
      <c r="N197" s="4">
        <v>27</v>
      </c>
      <c r="O197" s="4">
        <v>27</v>
      </c>
      <c r="P197" s="4">
        <v>25</v>
      </c>
      <c r="Q197" s="4">
        <v>22</v>
      </c>
      <c r="R197" s="4">
        <v>23</v>
      </c>
      <c r="S197" s="4">
        <v>23</v>
      </c>
      <c r="T197" s="4">
        <v>16</v>
      </c>
      <c r="U197" s="4">
        <v>16</v>
      </c>
    </row>
    <row r="198" spans="1:21" x14ac:dyDescent="0.2">
      <c r="C198" s="3" t="s">
        <v>24</v>
      </c>
      <c r="D198" s="4"/>
      <c r="E198" s="4">
        <v>1</v>
      </c>
      <c r="F198" s="4">
        <v>1</v>
      </c>
      <c r="G198" s="4">
        <v>1</v>
      </c>
      <c r="H198" s="4">
        <v>2</v>
      </c>
      <c r="I198" s="4">
        <v>1</v>
      </c>
      <c r="J198" s="4">
        <v>1</v>
      </c>
      <c r="K198" s="4">
        <v>1</v>
      </c>
      <c r="L198" s="4">
        <v>1</v>
      </c>
      <c r="M198" s="4">
        <v>1</v>
      </c>
      <c r="N198" s="4">
        <v>1</v>
      </c>
      <c r="O198" s="4">
        <v>4</v>
      </c>
      <c r="P198" s="4">
        <v>0</v>
      </c>
      <c r="Q198" s="4">
        <v>0</v>
      </c>
      <c r="R198" s="4">
        <v>0</v>
      </c>
      <c r="S198" s="4">
        <v>0</v>
      </c>
      <c r="T198" s="4">
        <v>1</v>
      </c>
      <c r="U198" s="4">
        <v>1</v>
      </c>
    </row>
    <row r="199" spans="1:21" x14ac:dyDescent="0.2">
      <c r="C199" s="3" t="s">
        <v>25</v>
      </c>
      <c r="D199" s="4"/>
      <c r="E199" s="4">
        <v>1</v>
      </c>
      <c r="F199" s="4">
        <v>2</v>
      </c>
      <c r="G199" s="4">
        <v>2</v>
      </c>
      <c r="H199" s="4">
        <v>2</v>
      </c>
      <c r="I199" s="4">
        <v>2</v>
      </c>
      <c r="J199" s="4">
        <v>1</v>
      </c>
      <c r="K199" s="4">
        <v>2</v>
      </c>
      <c r="L199" s="4">
        <v>2</v>
      </c>
      <c r="M199" s="4">
        <v>2</v>
      </c>
      <c r="N199" s="4">
        <v>2</v>
      </c>
      <c r="O199" s="4">
        <v>2</v>
      </c>
      <c r="P199" s="4">
        <v>2</v>
      </c>
      <c r="Q199" s="4">
        <v>2</v>
      </c>
      <c r="R199" s="4">
        <v>2</v>
      </c>
      <c r="S199" s="4">
        <v>1</v>
      </c>
      <c r="T199" s="4">
        <v>0</v>
      </c>
      <c r="U199" s="4">
        <v>0</v>
      </c>
    </row>
    <row r="200" spans="1:21" x14ac:dyDescent="0.2">
      <c r="C200" s="3" t="s">
        <v>26</v>
      </c>
      <c r="D200" s="4"/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2</v>
      </c>
      <c r="O200" s="4">
        <v>2</v>
      </c>
      <c r="P200" s="4">
        <v>2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</row>
    <row r="201" spans="1:21" x14ac:dyDescent="0.2">
      <c r="C201" s="3" t="s">
        <v>27</v>
      </c>
      <c r="D201" s="4"/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1</v>
      </c>
      <c r="O201" s="4">
        <v>1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</row>
    <row r="202" spans="1:21" x14ac:dyDescent="0.2">
      <c r="C202" s="3"/>
      <c r="D202" s="3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1:21" x14ac:dyDescent="0.2">
      <c r="C203" s="3"/>
      <c r="D203" s="3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1:21" x14ac:dyDescent="0.2">
      <c r="D204" s="3"/>
    </row>
    <row r="205" spans="1:21" ht="48" x14ac:dyDescent="0.2">
      <c r="A205" s="5" t="s">
        <v>36</v>
      </c>
      <c r="D205" s="3"/>
    </row>
    <row r="206" spans="1:21" x14ac:dyDescent="0.2">
      <c r="D206" s="3"/>
    </row>
    <row r="207" spans="1:21" x14ac:dyDescent="0.2">
      <c r="D207" s="3"/>
    </row>
    <row r="208" spans="1:21" x14ac:dyDescent="0.2">
      <c r="A208" t="s">
        <v>37</v>
      </c>
      <c r="D208" s="3"/>
      <c r="E208" s="3" t="s">
        <v>2</v>
      </c>
      <c r="F208" s="3" t="s">
        <v>3</v>
      </c>
      <c r="G208" s="3" t="s">
        <v>4</v>
      </c>
      <c r="H208" s="3" t="s">
        <v>5</v>
      </c>
      <c r="I208" s="3" t="s">
        <v>6</v>
      </c>
      <c r="J208" s="3" t="s">
        <v>7</v>
      </c>
      <c r="K208" s="3" t="s">
        <v>8</v>
      </c>
      <c r="L208" s="3" t="s">
        <v>9</v>
      </c>
      <c r="M208" s="3" t="s">
        <v>10</v>
      </c>
      <c r="N208" s="3" t="s">
        <v>11</v>
      </c>
      <c r="O208" s="3" t="s">
        <v>12</v>
      </c>
      <c r="P208" s="3" t="s">
        <v>13</v>
      </c>
      <c r="Q208" s="3" t="s">
        <v>14</v>
      </c>
      <c r="R208" s="3" t="s">
        <v>15</v>
      </c>
      <c r="S208" s="3" t="s">
        <v>16</v>
      </c>
      <c r="T208" s="3" t="s">
        <v>17</v>
      </c>
      <c r="U208" s="3" t="s">
        <v>18</v>
      </c>
    </row>
    <row r="209" spans="2:21" x14ac:dyDescent="0.2">
      <c r="B209" s="3" t="s">
        <v>20</v>
      </c>
      <c r="C209" s="3" t="s">
        <v>21</v>
      </c>
      <c r="D209" s="3"/>
      <c r="E209" s="4">
        <f t="shared" ref="E209:U209" si="0">$D4*(E4+E54+E103+E153)</f>
        <v>8403466.5</v>
      </c>
      <c r="F209" s="4">
        <f t="shared" si="0"/>
        <v>8457867</v>
      </c>
      <c r="G209" s="4">
        <f t="shared" si="0"/>
        <v>8445145.5</v>
      </c>
      <c r="H209" s="4">
        <f t="shared" si="0"/>
        <v>8364510</v>
      </c>
      <c r="I209" s="4">
        <f t="shared" si="0"/>
        <v>8323227</v>
      </c>
      <c r="J209" s="4">
        <f t="shared" si="0"/>
        <v>8255758.5</v>
      </c>
      <c r="K209" s="4">
        <f t="shared" si="0"/>
        <v>8167549.5</v>
      </c>
      <c r="L209" s="4">
        <f t="shared" si="0"/>
        <v>8033503.5</v>
      </c>
      <c r="M209" s="4">
        <f t="shared" si="0"/>
        <v>7924108.5</v>
      </c>
      <c r="N209" s="4">
        <f t="shared" si="0"/>
        <v>7806051</v>
      </c>
      <c r="O209" s="4">
        <f t="shared" si="0"/>
        <v>7716654</v>
      </c>
      <c r="P209" s="4">
        <f t="shared" si="0"/>
        <v>7694923.5</v>
      </c>
      <c r="Q209" s="4">
        <f t="shared" si="0"/>
        <v>7634335.5</v>
      </c>
      <c r="R209" s="4">
        <f t="shared" si="0"/>
        <v>7586320.5</v>
      </c>
      <c r="S209" s="4">
        <f t="shared" si="0"/>
        <v>7503952.5</v>
      </c>
      <c r="T209" s="4">
        <f t="shared" si="0"/>
        <v>7443711</v>
      </c>
      <c r="U209" s="4">
        <f t="shared" si="0"/>
        <v>7389211.5</v>
      </c>
    </row>
    <row r="210" spans="2:21" x14ac:dyDescent="0.2">
      <c r="C210" s="3" t="s">
        <v>22</v>
      </c>
      <c r="D210" s="3"/>
      <c r="E210" s="4">
        <f t="shared" ref="E210:U210" si="1">$D5*(E5+E55+E104+E154)</f>
        <v>126977825</v>
      </c>
      <c r="F210" s="4">
        <f t="shared" si="1"/>
        <v>127626356</v>
      </c>
      <c r="G210" s="4">
        <f t="shared" si="1"/>
        <v>127990538</v>
      </c>
      <c r="H210" s="4">
        <f t="shared" si="1"/>
        <v>128320634</v>
      </c>
      <c r="I210" s="4">
        <f t="shared" si="1"/>
        <v>128587491.5</v>
      </c>
      <c r="J210" s="4">
        <f t="shared" si="1"/>
        <v>128846276</v>
      </c>
      <c r="K210" s="4">
        <f t="shared" si="1"/>
        <v>129244843</v>
      </c>
      <c r="L210" s="4">
        <f t="shared" si="1"/>
        <v>129735502</v>
      </c>
      <c r="M210" s="4">
        <f t="shared" si="1"/>
        <v>130472387.5</v>
      </c>
      <c r="N210" s="4">
        <f t="shared" si="1"/>
        <v>131311680.5</v>
      </c>
      <c r="O210" s="4">
        <f t="shared" si="1"/>
        <v>132036755.5</v>
      </c>
      <c r="P210" s="4">
        <f t="shared" si="1"/>
        <v>132681997.5</v>
      </c>
      <c r="Q210" s="4">
        <f t="shared" si="1"/>
        <v>133266094</v>
      </c>
      <c r="R210" s="4">
        <f t="shared" si="1"/>
        <v>133801304</v>
      </c>
      <c r="S210" s="4">
        <f t="shared" si="1"/>
        <v>134362377.5</v>
      </c>
      <c r="T210" s="4">
        <f t="shared" si="1"/>
        <v>135071157</v>
      </c>
      <c r="U210" s="4">
        <f t="shared" si="1"/>
        <v>135610553</v>
      </c>
    </row>
    <row r="211" spans="2:21" x14ac:dyDescent="0.2">
      <c r="C211" s="3" t="s">
        <v>23</v>
      </c>
      <c r="E211" s="4">
        <f t="shared" ref="E211:U211" si="2">$D6*(E6+E56+E105+E155)</f>
        <v>106660759.5</v>
      </c>
      <c r="F211" s="4">
        <f t="shared" si="2"/>
        <v>108028003.5</v>
      </c>
      <c r="G211" s="4">
        <f t="shared" si="2"/>
        <v>109058329.5</v>
      </c>
      <c r="H211" s="4">
        <f t="shared" si="2"/>
        <v>110168691</v>
      </c>
      <c r="I211" s="4">
        <f t="shared" si="2"/>
        <v>111006442.5</v>
      </c>
      <c r="J211" s="4">
        <f t="shared" si="2"/>
        <v>112021390.5</v>
      </c>
      <c r="K211" s="4">
        <f t="shared" si="2"/>
        <v>113120568</v>
      </c>
      <c r="L211" s="4">
        <f t="shared" si="2"/>
        <v>114490957.5</v>
      </c>
      <c r="M211" s="4">
        <f t="shared" si="2"/>
        <v>116025262.5</v>
      </c>
      <c r="N211" s="4">
        <f t="shared" si="2"/>
        <v>117730473</v>
      </c>
      <c r="O211" s="4">
        <f t="shared" si="2"/>
        <v>119513971.5</v>
      </c>
      <c r="P211" s="4">
        <f t="shared" si="2"/>
        <v>121171300.5</v>
      </c>
      <c r="Q211" s="4">
        <f t="shared" si="2"/>
        <v>122865676.5</v>
      </c>
      <c r="R211" s="4">
        <f t="shared" si="2"/>
        <v>124325188.5</v>
      </c>
      <c r="S211" s="4">
        <f t="shared" si="2"/>
        <v>126179635.5</v>
      </c>
      <c r="T211" s="4">
        <f t="shared" si="2"/>
        <v>128312634</v>
      </c>
      <c r="U211" s="4">
        <f t="shared" si="2"/>
        <v>130406139</v>
      </c>
    </row>
    <row r="212" spans="2:21" x14ac:dyDescent="0.2">
      <c r="C212" s="3" t="s">
        <v>24</v>
      </c>
      <c r="E212" s="4">
        <f t="shared" ref="E212:U212" si="3">$D7*(E7+E57+E106+E156)</f>
        <v>16372827.5</v>
      </c>
      <c r="F212" s="4">
        <f t="shared" si="3"/>
        <v>16677124.5</v>
      </c>
      <c r="G212" s="4">
        <f t="shared" si="3"/>
        <v>16924459.5</v>
      </c>
      <c r="H212" s="4">
        <f t="shared" si="3"/>
        <v>17139566</v>
      </c>
      <c r="I212" s="4">
        <f t="shared" si="3"/>
        <v>17326941</v>
      </c>
      <c r="J212" s="4">
        <f t="shared" si="3"/>
        <v>17513566.5</v>
      </c>
      <c r="K212" s="4">
        <f t="shared" si="3"/>
        <v>17700941.5</v>
      </c>
      <c r="L212" s="4">
        <f t="shared" si="3"/>
        <v>17903306.5</v>
      </c>
      <c r="M212" s="4">
        <f t="shared" si="3"/>
        <v>18081687.5</v>
      </c>
      <c r="N212" s="4">
        <f t="shared" si="3"/>
        <v>18270561.5</v>
      </c>
      <c r="O212" s="4">
        <f t="shared" si="3"/>
        <v>18466930.5</v>
      </c>
      <c r="P212" s="4">
        <f t="shared" si="3"/>
        <v>18688033</v>
      </c>
      <c r="Q212" s="4">
        <f t="shared" si="3"/>
        <v>18870911</v>
      </c>
      <c r="R212" s="4">
        <f t="shared" si="3"/>
        <v>19160967.5</v>
      </c>
      <c r="S212" s="4">
        <f t="shared" si="3"/>
        <v>19510984</v>
      </c>
      <c r="T212" s="4">
        <f t="shared" si="3"/>
        <v>19753822</v>
      </c>
      <c r="U212" s="4">
        <f t="shared" si="3"/>
        <v>19962183</v>
      </c>
    </row>
    <row r="213" spans="2:21" x14ac:dyDescent="0.2">
      <c r="C213" s="3" t="s">
        <v>25</v>
      </c>
      <c r="E213" s="4">
        <f t="shared" ref="E213:U213" si="4">$D8*(E8+E58+E107+E157)</f>
        <v>18830721</v>
      </c>
      <c r="F213" s="4">
        <f t="shared" si="4"/>
        <v>18995666</v>
      </c>
      <c r="G213" s="4">
        <f t="shared" si="4"/>
        <v>19247582</v>
      </c>
      <c r="H213" s="4">
        <f t="shared" si="4"/>
        <v>19506995.5</v>
      </c>
      <c r="I213" s="4">
        <f t="shared" si="4"/>
        <v>19698931.5</v>
      </c>
      <c r="J213" s="4">
        <f t="shared" si="4"/>
        <v>19917858.5</v>
      </c>
      <c r="K213" s="4">
        <f t="shared" si="4"/>
        <v>20087302</v>
      </c>
      <c r="L213" s="4">
        <f t="shared" si="4"/>
        <v>20321224</v>
      </c>
      <c r="M213" s="4">
        <f t="shared" si="4"/>
        <v>20379704.5</v>
      </c>
      <c r="N213" s="4">
        <f t="shared" si="4"/>
        <v>20550647.5</v>
      </c>
      <c r="O213" s="4">
        <f t="shared" si="4"/>
        <v>20666109</v>
      </c>
      <c r="P213" s="4">
        <f t="shared" si="4"/>
        <v>20889534.5</v>
      </c>
      <c r="Q213" s="4">
        <f t="shared" si="4"/>
        <v>21093466.5</v>
      </c>
      <c r="R213" s="4">
        <f t="shared" si="4"/>
        <v>21276405.5</v>
      </c>
      <c r="S213" s="4">
        <f t="shared" si="4"/>
        <v>21522323.5</v>
      </c>
      <c r="T213" s="4">
        <f t="shared" si="4"/>
        <v>21553813</v>
      </c>
      <c r="U213" s="4">
        <f t="shared" si="4"/>
        <v>21675272.5</v>
      </c>
    </row>
    <row r="214" spans="2:21" x14ac:dyDescent="0.2">
      <c r="C214" s="3" t="s">
        <v>26</v>
      </c>
      <c r="E214" s="4">
        <f t="shared" ref="E214:U214" si="5">$D9*(E9+E59+E108+E158)</f>
        <v>36657262.5</v>
      </c>
      <c r="F214" s="4">
        <f t="shared" si="5"/>
        <v>36940722</v>
      </c>
      <c r="G214" s="4">
        <f t="shared" si="5"/>
        <v>37245178.5</v>
      </c>
      <c r="H214" s="4">
        <f t="shared" si="5"/>
        <v>37283673</v>
      </c>
      <c r="I214" s="4">
        <f t="shared" si="5"/>
        <v>37507641</v>
      </c>
      <c r="J214" s="4">
        <f t="shared" si="5"/>
        <v>37749106.5</v>
      </c>
      <c r="K214" s="4">
        <f t="shared" si="5"/>
        <v>37952077.5</v>
      </c>
      <c r="L214" s="4">
        <f t="shared" si="5"/>
        <v>38088558</v>
      </c>
      <c r="M214" s="4">
        <f t="shared" si="5"/>
        <v>38368518</v>
      </c>
      <c r="N214" s="4">
        <f t="shared" si="5"/>
        <v>38515497</v>
      </c>
      <c r="O214" s="4">
        <f t="shared" si="5"/>
        <v>38648478</v>
      </c>
      <c r="P214" s="4">
        <f t="shared" si="5"/>
        <v>38956434</v>
      </c>
      <c r="Q214" s="4">
        <f t="shared" si="5"/>
        <v>39204898.5</v>
      </c>
      <c r="R214" s="4">
        <f t="shared" si="5"/>
        <v>39540850.5</v>
      </c>
      <c r="S214" s="4">
        <f t="shared" si="5"/>
        <v>39813811.5</v>
      </c>
      <c r="T214" s="4">
        <f t="shared" si="5"/>
        <v>39904798.5</v>
      </c>
      <c r="U214" s="4">
        <f t="shared" si="5"/>
        <v>40062276</v>
      </c>
    </row>
    <row r="215" spans="2:21" x14ac:dyDescent="0.2">
      <c r="C215" s="3" t="s">
        <v>27</v>
      </c>
      <c r="E215" s="4">
        <f t="shared" ref="E215:U215" si="6">$D10*(E10+E60+E109+E159)</f>
        <v>11705000</v>
      </c>
      <c r="F215" s="4">
        <f t="shared" si="6"/>
        <v>11745000</v>
      </c>
      <c r="G215" s="4">
        <f t="shared" si="6"/>
        <v>11800000</v>
      </c>
      <c r="H215" s="4">
        <f t="shared" si="6"/>
        <v>11745000</v>
      </c>
      <c r="I215" s="4">
        <f t="shared" si="6"/>
        <v>11795000</v>
      </c>
      <c r="J215" s="4">
        <f t="shared" si="6"/>
        <v>11865000</v>
      </c>
      <c r="K215" s="4">
        <f t="shared" si="6"/>
        <v>11925000</v>
      </c>
      <c r="L215" s="4">
        <f t="shared" si="6"/>
        <v>11970000</v>
      </c>
      <c r="M215" s="4">
        <f t="shared" si="6"/>
        <v>12005000</v>
      </c>
      <c r="N215" s="4">
        <f t="shared" si="6"/>
        <v>12060000</v>
      </c>
      <c r="O215" s="4">
        <f t="shared" si="6"/>
        <v>12165000</v>
      </c>
      <c r="P215" s="4">
        <f t="shared" si="6"/>
        <v>12240000</v>
      </c>
      <c r="Q215" s="4">
        <f t="shared" si="6"/>
        <v>12295000</v>
      </c>
      <c r="R215" s="4">
        <f t="shared" si="6"/>
        <v>12410000</v>
      </c>
      <c r="S215" s="4">
        <f t="shared" si="6"/>
        <v>12555000</v>
      </c>
      <c r="T215" s="4">
        <f t="shared" si="6"/>
        <v>12505000</v>
      </c>
      <c r="U215" s="4">
        <f t="shared" si="6"/>
        <v>12760000</v>
      </c>
    </row>
    <row r="216" spans="2:21" x14ac:dyDescent="0.2">
      <c r="B216" s="3" t="s">
        <v>28</v>
      </c>
      <c r="C216" s="3" t="s">
        <v>21</v>
      </c>
      <c r="D216" s="3"/>
      <c r="E216" s="4">
        <f t="shared" ref="E216:U216" si="7">$D11*(E11+E61+E110+E160)</f>
        <v>134541</v>
      </c>
      <c r="F216" s="4">
        <f t="shared" si="7"/>
        <v>135036</v>
      </c>
      <c r="G216" s="4">
        <f t="shared" si="7"/>
        <v>132957</v>
      </c>
      <c r="H216" s="4">
        <f t="shared" si="7"/>
        <v>131769</v>
      </c>
      <c r="I216" s="4">
        <f t="shared" si="7"/>
        <v>131917.5</v>
      </c>
      <c r="J216" s="4">
        <f t="shared" si="7"/>
        <v>131076</v>
      </c>
      <c r="K216" s="4">
        <f t="shared" si="7"/>
        <v>125730</v>
      </c>
      <c r="L216" s="4">
        <f t="shared" si="7"/>
        <v>124492.5</v>
      </c>
      <c r="M216" s="4">
        <f t="shared" si="7"/>
        <v>123156</v>
      </c>
      <c r="N216" s="4">
        <f t="shared" si="7"/>
        <v>120730.5</v>
      </c>
      <c r="O216" s="4">
        <f t="shared" si="7"/>
        <v>120037.5</v>
      </c>
      <c r="P216" s="4">
        <f t="shared" si="7"/>
        <v>118008</v>
      </c>
      <c r="Q216" s="4">
        <f t="shared" si="7"/>
        <v>117117</v>
      </c>
      <c r="R216" s="4">
        <f t="shared" si="7"/>
        <v>115978.5</v>
      </c>
      <c r="S216" s="4">
        <f t="shared" si="7"/>
        <v>113454</v>
      </c>
      <c r="T216" s="4">
        <f t="shared" si="7"/>
        <v>111078</v>
      </c>
      <c r="U216" s="4">
        <f t="shared" si="7"/>
        <v>113899.5</v>
      </c>
    </row>
    <row r="217" spans="2:21" x14ac:dyDescent="0.2">
      <c r="C217" s="3" t="s">
        <v>22</v>
      </c>
      <c r="D217" s="3"/>
      <c r="E217" s="4">
        <f t="shared" ref="E217:U217" si="8">$D12*(E12+E62+E111+E161)</f>
        <v>1629400.5</v>
      </c>
      <c r="F217" s="4">
        <f t="shared" si="8"/>
        <v>1629998.5</v>
      </c>
      <c r="G217" s="4">
        <f t="shared" si="8"/>
        <v>1633736</v>
      </c>
      <c r="H217" s="4">
        <f t="shared" si="8"/>
        <v>1638520</v>
      </c>
      <c r="I217" s="4">
        <f t="shared" si="8"/>
        <v>1638221</v>
      </c>
      <c r="J217" s="4">
        <f t="shared" si="8"/>
        <v>1639716</v>
      </c>
      <c r="K217" s="4">
        <f t="shared" si="8"/>
        <v>1655563</v>
      </c>
      <c r="L217" s="4">
        <f t="shared" si="8"/>
        <v>1658254</v>
      </c>
      <c r="M217" s="4">
        <f t="shared" si="8"/>
        <v>1661244</v>
      </c>
      <c r="N217" s="4">
        <f t="shared" si="8"/>
        <v>1666028</v>
      </c>
      <c r="O217" s="4">
        <f t="shared" si="8"/>
        <v>1667822</v>
      </c>
      <c r="P217" s="4">
        <f t="shared" si="8"/>
        <v>1675596</v>
      </c>
      <c r="Q217" s="4">
        <f t="shared" si="8"/>
        <v>1681875</v>
      </c>
      <c r="R217" s="4">
        <f t="shared" si="8"/>
        <v>1682772</v>
      </c>
      <c r="S217" s="4">
        <f t="shared" si="8"/>
        <v>1692788.5</v>
      </c>
      <c r="T217" s="4">
        <f t="shared" si="8"/>
        <v>1687406.5</v>
      </c>
      <c r="U217" s="4">
        <f t="shared" si="8"/>
        <v>1695330</v>
      </c>
    </row>
    <row r="218" spans="2:21" x14ac:dyDescent="0.2">
      <c r="C218" s="3" t="s">
        <v>23</v>
      </c>
      <c r="D218" s="3"/>
      <c r="E218" s="4">
        <f t="shared" ref="E218:U218" si="9">$D13*(E13+E63+E112+E162)</f>
        <v>3519115.5</v>
      </c>
      <c r="F218" s="4">
        <f t="shared" si="9"/>
        <v>3527853</v>
      </c>
      <c r="G218" s="4">
        <f t="shared" si="9"/>
        <v>3530299.5</v>
      </c>
      <c r="H218" s="4">
        <f t="shared" si="9"/>
        <v>3518766</v>
      </c>
      <c r="I218" s="4">
        <f t="shared" si="9"/>
        <v>3525406.5</v>
      </c>
      <c r="J218" s="4">
        <f t="shared" si="9"/>
        <v>3527503.5</v>
      </c>
      <c r="K218" s="4">
        <f t="shared" si="9"/>
        <v>3547075.5</v>
      </c>
      <c r="L218" s="4">
        <f t="shared" si="9"/>
        <v>3548473.5</v>
      </c>
      <c r="M218" s="4">
        <f t="shared" si="9"/>
        <v>3558609</v>
      </c>
      <c r="N218" s="4">
        <f t="shared" si="9"/>
        <v>3569793</v>
      </c>
      <c r="O218" s="4">
        <f t="shared" si="9"/>
        <v>3580977</v>
      </c>
      <c r="P218" s="4">
        <f t="shared" si="9"/>
        <v>3589714.5</v>
      </c>
      <c r="Q218" s="4">
        <f t="shared" si="9"/>
        <v>3596005.5</v>
      </c>
      <c r="R218" s="4">
        <f t="shared" si="9"/>
        <v>3603345</v>
      </c>
      <c r="S218" s="4">
        <f t="shared" si="9"/>
        <v>3613830</v>
      </c>
      <c r="T218" s="4">
        <f t="shared" si="9"/>
        <v>3630606</v>
      </c>
      <c r="U218" s="4">
        <f t="shared" si="9"/>
        <v>3649828.5</v>
      </c>
    </row>
    <row r="219" spans="2:21" x14ac:dyDescent="0.2">
      <c r="C219" s="3" t="s">
        <v>24</v>
      </c>
      <c r="D219" s="3"/>
      <c r="E219" s="4">
        <f t="shared" ref="E219:U219" si="10">$D14*(E14+E64+E113+E163)</f>
        <v>1894736</v>
      </c>
      <c r="F219" s="4">
        <f t="shared" si="10"/>
        <v>1891738</v>
      </c>
      <c r="G219" s="4">
        <f t="shared" si="10"/>
        <v>1901481.5</v>
      </c>
      <c r="H219" s="4">
        <f t="shared" si="10"/>
        <v>1893237</v>
      </c>
      <c r="I219" s="4">
        <f t="shared" si="10"/>
        <v>1898483.5</v>
      </c>
      <c r="J219" s="4">
        <f t="shared" si="10"/>
        <v>1902231</v>
      </c>
      <c r="K219" s="4">
        <f t="shared" si="10"/>
        <v>1914972.5</v>
      </c>
      <c r="L219" s="4">
        <f t="shared" si="10"/>
        <v>1917221</v>
      </c>
      <c r="M219" s="4">
        <f t="shared" si="10"/>
        <v>1904479.5</v>
      </c>
      <c r="N219" s="4">
        <f t="shared" si="10"/>
        <v>1898483.5</v>
      </c>
      <c r="O219" s="4">
        <f t="shared" si="10"/>
        <v>1896984.5</v>
      </c>
      <c r="P219" s="4">
        <f t="shared" si="10"/>
        <v>1900732</v>
      </c>
      <c r="Q219" s="4">
        <f t="shared" si="10"/>
        <v>1898483.5</v>
      </c>
      <c r="R219" s="4">
        <f t="shared" si="10"/>
        <v>1905229</v>
      </c>
      <c r="S219" s="4">
        <f t="shared" si="10"/>
        <v>1908227</v>
      </c>
      <c r="T219" s="4">
        <f t="shared" si="10"/>
        <v>1893986.5</v>
      </c>
      <c r="U219" s="4">
        <f t="shared" si="10"/>
        <v>1879746</v>
      </c>
    </row>
    <row r="220" spans="2:21" x14ac:dyDescent="0.2">
      <c r="C220" s="3" t="s">
        <v>25</v>
      </c>
      <c r="D220" s="3"/>
      <c r="E220" s="4">
        <f t="shared" ref="E220:U220" si="11">$D15*(E15+E65+E114+E164)</f>
        <v>5771575.5</v>
      </c>
      <c r="F220" s="4">
        <f t="shared" si="11"/>
        <v>5773075</v>
      </c>
      <c r="G220" s="4">
        <f t="shared" si="11"/>
        <v>5836054</v>
      </c>
      <c r="H220" s="4">
        <f t="shared" si="11"/>
        <v>5879539.5</v>
      </c>
      <c r="I220" s="4">
        <f t="shared" si="11"/>
        <v>5882538.5</v>
      </c>
      <c r="J220" s="4">
        <f t="shared" si="11"/>
        <v>5912528.5</v>
      </c>
      <c r="K220" s="4">
        <f t="shared" si="11"/>
        <v>5933521.5</v>
      </c>
      <c r="L220" s="4">
        <f t="shared" si="11"/>
        <v>5954514.5</v>
      </c>
      <c r="M220" s="4">
        <f t="shared" si="11"/>
        <v>5947017</v>
      </c>
      <c r="N220" s="4">
        <f t="shared" si="11"/>
        <v>5960512.5</v>
      </c>
      <c r="O220" s="4">
        <f t="shared" si="11"/>
        <v>5971009</v>
      </c>
      <c r="P220" s="4">
        <f t="shared" si="11"/>
        <v>5971009</v>
      </c>
      <c r="Q220" s="4">
        <f t="shared" si="11"/>
        <v>5969509.5</v>
      </c>
      <c r="R220" s="4">
        <f t="shared" si="11"/>
        <v>5980006</v>
      </c>
      <c r="S220" s="4">
        <f t="shared" si="11"/>
        <v>5992002</v>
      </c>
      <c r="T220" s="4">
        <f t="shared" si="11"/>
        <v>6015994</v>
      </c>
      <c r="U220" s="4">
        <f t="shared" si="11"/>
        <v>5962012</v>
      </c>
    </row>
    <row r="221" spans="2:21" x14ac:dyDescent="0.2">
      <c r="C221" s="3" t="s">
        <v>26</v>
      </c>
      <c r="D221" s="3"/>
      <c r="E221" s="4">
        <f t="shared" ref="E221:U221" si="12">$D16*(E16+E66+E115+E165)</f>
        <v>13525567.5</v>
      </c>
      <c r="F221" s="4">
        <f t="shared" si="12"/>
        <v>13557063</v>
      </c>
      <c r="G221" s="4">
        <f t="shared" si="12"/>
        <v>13665547.5</v>
      </c>
      <c r="H221" s="4">
        <f t="shared" si="12"/>
        <v>13655049</v>
      </c>
      <c r="I221" s="4">
        <f t="shared" si="12"/>
        <v>13679545.5</v>
      </c>
      <c r="J221" s="4">
        <f t="shared" si="12"/>
        <v>13735537.5</v>
      </c>
      <c r="K221" s="4">
        <f t="shared" si="12"/>
        <v>13819525.5</v>
      </c>
      <c r="L221" s="4">
        <f t="shared" si="12"/>
        <v>13826524.5</v>
      </c>
      <c r="M221" s="4">
        <f t="shared" si="12"/>
        <v>13875517.5</v>
      </c>
      <c r="N221" s="4">
        <f t="shared" si="12"/>
        <v>13872018</v>
      </c>
      <c r="O221" s="4">
        <f t="shared" si="12"/>
        <v>13910512.5</v>
      </c>
      <c r="P221" s="4">
        <f t="shared" si="12"/>
        <v>13952506.5</v>
      </c>
      <c r="Q221" s="4">
        <f t="shared" si="12"/>
        <v>13984002</v>
      </c>
      <c r="R221" s="4">
        <f t="shared" si="12"/>
        <v>14008498.5</v>
      </c>
      <c r="S221" s="4">
        <f t="shared" si="12"/>
        <v>13984002</v>
      </c>
      <c r="T221" s="4">
        <f t="shared" si="12"/>
        <v>14050492.5</v>
      </c>
      <c r="U221" s="4">
        <f t="shared" si="12"/>
        <v>14081988</v>
      </c>
    </row>
    <row r="222" spans="2:21" x14ac:dyDescent="0.2">
      <c r="C222" s="3" t="s">
        <v>27</v>
      </c>
      <c r="D222" s="3"/>
      <c r="E222" s="4">
        <f t="shared" ref="E222:U222" si="13">$D17*(E17+E67+E116+E166)</f>
        <v>5595000</v>
      </c>
      <c r="F222" s="4">
        <f t="shared" si="13"/>
        <v>5605000</v>
      </c>
      <c r="G222" s="4">
        <f t="shared" si="13"/>
        <v>5635000</v>
      </c>
      <c r="H222" s="4">
        <f t="shared" si="13"/>
        <v>5515000</v>
      </c>
      <c r="I222" s="4">
        <f t="shared" si="13"/>
        <v>5505000</v>
      </c>
      <c r="J222" s="4">
        <f t="shared" si="13"/>
        <v>5520000</v>
      </c>
      <c r="K222" s="4">
        <f t="shared" si="13"/>
        <v>5550000</v>
      </c>
      <c r="L222" s="4">
        <f t="shared" si="13"/>
        <v>5560000</v>
      </c>
      <c r="M222" s="4">
        <f t="shared" si="13"/>
        <v>5595000</v>
      </c>
      <c r="N222" s="4">
        <f t="shared" si="13"/>
        <v>5600000</v>
      </c>
      <c r="O222" s="4">
        <f t="shared" si="13"/>
        <v>5615000</v>
      </c>
      <c r="P222" s="4">
        <f t="shared" si="13"/>
        <v>5625000</v>
      </c>
      <c r="Q222" s="4">
        <f t="shared" si="13"/>
        <v>5655000</v>
      </c>
      <c r="R222" s="4">
        <f t="shared" si="13"/>
        <v>5695000</v>
      </c>
      <c r="S222" s="4">
        <f t="shared" si="13"/>
        <v>5750000</v>
      </c>
      <c r="T222" s="4">
        <f t="shared" si="13"/>
        <v>5695000</v>
      </c>
      <c r="U222" s="4">
        <f t="shared" si="13"/>
        <v>5810000</v>
      </c>
    </row>
    <row r="223" spans="2:21" x14ac:dyDescent="0.2">
      <c r="B223" s="3" t="s">
        <v>29</v>
      </c>
      <c r="C223" s="3" t="s">
        <v>21</v>
      </c>
      <c r="D223" s="3"/>
      <c r="E223" s="4">
        <f t="shared" ref="E223:U223" si="14">$D18*(E18+E68+E117+E167)</f>
        <v>612067.5</v>
      </c>
      <c r="F223" s="4">
        <f t="shared" si="14"/>
        <v>617562</v>
      </c>
      <c r="G223" s="4">
        <f t="shared" si="14"/>
        <v>615631.5</v>
      </c>
      <c r="H223" s="4">
        <f t="shared" si="14"/>
        <v>604741.5</v>
      </c>
      <c r="I223" s="4">
        <f t="shared" si="14"/>
        <v>597069</v>
      </c>
      <c r="J223" s="4">
        <f t="shared" si="14"/>
        <v>598801.5</v>
      </c>
      <c r="K223" s="4">
        <f t="shared" si="14"/>
        <v>600534</v>
      </c>
      <c r="L223" s="4">
        <f t="shared" si="14"/>
        <v>595683</v>
      </c>
      <c r="M223" s="4">
        <f t="shared" si="14"/>
        <v>584199</v>
      </c>
      <c r="N223" s="4">
        <f t="shared" si="14"/>
        <v>577120.5</v>
      </c>
      <c r="O223" s="4">
        <f t="shared" si="14"/>
        <v>569596.5</v>
      </c>
      <c r="P223" s="4">
        <f t="shared" si="14"/>
        <v>563458.5</v>
      </c>
      <c r="Q223" s="4">
        <f t="shared" si="14"/>
        <v>556528.5</v>
      </c>
      <c r="R223" s="4">
        <f t="shared" si="14"/>
        <v>550093.5</v>
      </c>
      <c r="S223" s="4">
        <f t="shared" si="14"/>
        <v>545688</v>
      </c>
      <c r="T223" s="4">
        <f t="shared" si="14"/>
        <v>539253</v>
      </c>
      <c r="U223" s="4">
        <f t="shared" si="14"/>
        <v>533214</v>
      </c>
    </row>
    <row r="224" spans="2:21" x14ac:dyDescent="0.2">
      <c r="C224" s="3" t="s">
        <v>22</v>
      </c>
      <c r="D224" s="3"/>
      <c r="E224" s="4">
        <f t="shared" ref="E224:U224" si="15">$D19*(E19+E69+E118+E168)</f>
        <v>11178862.5</v>
      </c>
      <c r="F224" s="4">
        <f t="shared" si="15"/>
        <v>11204128</v>
      </c>
      <c r="G224" s="4">
        <f t="shared" si="15"/>
        <v>11224908.5</v>
      </c>
      <c r="H224" s="4">
        <f t="shared" si="15"/>
        <v>11239559.5</v>
      </c>
      <c r="I224" s="4">
        <f t="shared" si="15"/>
        <v>11241652.5</v>
      </c>
      <c r="J224" s="4">
        <f t="shared" si="15"/>
        <v>11263479.5</v>
      </c>
      <c r="K224" s="4">
        <f t="shared" si="15"/>
        <v>11290838</v>
      </c>
      <c r="L224" s="4">
        <f t="shared" si="15"/>
        <v>11330156.5</v>
      </c>
      <c r="M224" s="4">
        <f t="shared" si="15"/>
        <v>11383378.5</v>
      </c>
      <c r="N224" s="4">
        <f t="shared" si="15"/>
        <v>11434507.5</v>
      </c>
      <c r="O224" s="4">
        <f t="shared" si="15"/>
        <v>11462314.5</v>
      </c>
      <c r="P224" s="4">
        <f t="shared" si="15"/>
        <v>11490420.5</v>
      </c>
      <c r="Q224" s="4">
        <f t="shared" si="15"/>
        <v>11523908.5</v>
      </c>
      <c r="R224" s="4">
        <f t="shared" si="15"/>
        <v>11558443</v>
      </c>
      <c r="S224" s="4">
        <f t="shared" si="15"/>
        <v>11598808</v>
      </c>
      <c r="T224" s="4">
        <f t="shared" si="15"/>
        <v>11645900.5</v>
      </c>
      <c r="U224" s="4">
        <f t="shared" si="15"/>
        <v>11672362</v>
      </c>
    </row>
    <row r="225" spans="2:21" x14ac:dyDescent="0.2">
      <c r="C225" s="3" t="s">
        <v>23</v>
      </c>
      <c r="D225" s="3"/>
      <c r="E225" s="4">
        <f t="shared" ref="E225:U225" si="16">$D20*(E20+E70+E119+E169)</f>
        <v>9873375</v>
      </c>
      <c r="F225" s="4">
        <f t="shared" si="16"/>
        <v>9953760</v>
      </c>
      <c r="G225" s="4">
        <f t="shared" si="16"/>
        <v>10000942.5</v>
      </c>
      <c r="H225" s="4">
        <f t="shared" si="16"/>
        <v>10072590</v>
      </c>
      <c r="I225" s="4">
        <f t="shared" si="16"/>
        <v>10115229</v>
      </c>
      <c r="J225" s="4">
        <f t="shared" si="16"/>
        <v>10157518.5</v>
      </c>
      <c r="K225" s="4">
        <f t="shared" si="16"/>
        <v>10229515.5</v>
      </c>
      <c r="L225" s="4">
        <f t="shared" si="16"/>
        <v>10297318.5</v>
      </c>
      <c r="M225" s="4">
        <f t="shared" si="16"/>
        <v>10353937.5</v>
      </c>
      <c r="N225" s="4">
        <f t="shared" si="16"/>
        <v>10436769</v>
      </c>
      <c r="O225" s="4">
        <f t="shared" si="16"/>
        <v>10517154</v>
      </c>
      <c r="P225" s="4">
        <f t="shared" si="16"/>
        <v>10598587.5</v>
      </c>
      <c r="Q225" s="4">
        <f t="shared" si="16"/>
        <v>10671283.5</v>
      </c>
      <c r="R225" s="4">
        <f t="shared" si="16"/>
        <v>10737339</v>
      </c>
      <c r="S225" s="4">
        <f t="shared" si="16"/>
        <v>10828209</v>
      </c>
      <c r="T225" s="4">
        <f t="shared" si="16"/>
        <v>10915584</v>
      </c>
      <c r="U225" s="4">
        <f t="shared" si="16"/>
        <v>11001910.5</v>
      </c>
    </row>
    <row r="226" spans="2:21" x14ac:dyDescent="0.2">
      <c r="C226" s="3" t="s">
        <v>24</v>
      </c>
      <c r="D226" s="3"/>
      <c r="E226" s="4">
        <f t="shared" ref="E226:U226" si="17">$D21*(E21+E71+E120+E170)</f>
        <v>1900732</v>
      </c>
      <c r="F226" s="4">
        <f t="shared" si="17"/>
        <v>1934459.5</v>
      </c>
      <c r="G226" s="4">
        <f t="shared" si="17"/>
        <v>1949449.5</v>
      </c>
      <c r="H226" s="4">
        <f t="shared" si="17"/>
        <v>1996668</v>
      </c>
      <c r="I226" s="4">
        <f t="shared" si="17"/>
        <v>2016155</v>
      </c>
      <c r="J226" s="4">
        <f t="shared" si="17"/>
        <v>2022900.5</v>
      </c>
      <c r="K226" s="4">
        <f t="shared" si="17"/>
        <v>2037890.5</v>
      </c>
      <c r="L226" s="4">
        <f t="shared" si="17"/>
        <v>2070868.5</v>
      </c>
      <c r="M226" s="4">
        <f t="shared" si="17"/>
        <v>2084359.5</v>
      </c>
      <c r="N226" s="4">
        <f t="shared" si="17"/>
        <v>2094852.5</v>
      </c>
      <c r="O226" s="4">
        <f t="shared" si="17"/>
        <v>2103846.5</v>
      </c>
      <c r="P226" s="4">
        <f t="shared" si="17"/>
        <v>2117337.5</v>
      </c>
      <c r="Q226" s="4">
        <f t="shared" si="17"/>
        <v>2127830.5</v>
      </c>
      <c r="R226" s="4">
        <f t="shared" si="17"/>
        <v>2138323.5</v>
      </c>
      <c r="S226" s="4">
        <f t="shared" si="17"/>
        <v>2163057</v>
      </c>
      <c r="T226" s="4">
        <f t="shared" si="17"/>
        <v>2170552</v>
      </c>
      <c r="U226" s="4">
        <f t="shared" si="17"/>
        <v>2192287.5</v>
      </c>
    </row>
    <row r="227" spans="2:21" x14ac:dyDescent="0.2">
      <c r="C227" s="3" t="s">
        <v>25</v>
      </c>
      <c r="D227" s="3"/>
      <c r="E227" s="4">
        <f t="shared" ref="E227:U227" si="18">$D22*(E22+E72+E121+E171)</f>
        <v>2709596.5</v>
      </c>
      <c r="F227" s="4">
        <f t="shared" si="18"/>
        <v>2721592.5</v>
      </c>
      <c r="G227" s="4">
        <f t="shared" si="18"/>
        <v>2739586.5</v>
      </c>
      <c r="H227" s="4">
        <f t="shared" si="18"/>
        <v>2787570.5</v>
      </c>
      <c r="I227" s="4">
        <f t="shared" si="18"/>
        <v>2841552.5</v>
      </c>
      <c r="J227" s="4">
        <f t="shared" si="18"/>
        <v>2865544.5</v>
      </c>
      <c r="K227" s="4">
        <f t="shared" si="18"/>
        <v>2888037</v>
      </c>
      <c r="L227" s="4">
        <f t="shared" si="18"/>
        <v>2913528.5</v>
      </c>
      <c r="M227" s="4">
        <f t="shared" si="18"/>
        <v>2922525.5</v>
      </c>
      <c r="N227" s="4">
        <f t="shared" si="18"/>
        <v>2937520.5</v>
      </c>
      <c r="O227" s="4">
        <f t="shared" si="18"/>
        <v>2940519.5</v>
      </c>
      <c r="P227" s="4">
        <f t="shared" si="18"/>
        <v>2955514.5</v>
      </c>
      <c r="Q227" s="4">
        <f t="shared" si="18"/>
        <v>2969010</v>
      </c>
      <c r="R227" s="4">
        <f t="shared" si="18"/>
        <v>2966011</v>
      </c>
      <c r="S227" s="4">
        <f t="shared" si="18"/>
        <v>2975008</v>
      </c>
      <c r="T227" s="4">
        <f t="shared" si="18"/>
        <v>2967510.5</v>
      </c>
      <c r="U227" s="4">
        <f t="shared" si="18"/>
        <v>2993002</v>
      </c>
    </row>
    <row r="228" spans="2:21" x14ac:dyDescent="0.2">
      <c r="C228" s="3" t="s">
        <v>26</v>
      </c>
      <c r="D228" s="3"/>
      <c r="E228" s="4">
        <f t="shared" ref="E228:U228" si="19">$D23*(E23+E73+E122+E172)</f>
        <v>7089987</v>
      </c>
      <c r="F228" s="4">
        <f t="shared" si="19"/>
        <v>7170475.5</v>
      </c>
      <c r="G228" s="4">
        <f t="shared" si="19"/>
        <v>7191472.5</v>
      </c>
      <c r="H228" s="4">
        <f t="shared" si="19"/>
        <v>7180974</v>
      </c>
      <c r="I228" s="4">
        <f t="shared" si="19"/>
        <v>7229967</v>
      </c>
      <c r="J228" s="4">
        <f t="shared" si="19"/>
        <v>7243965</v>
      </c>
      <c r="K228" s="4">
        <f t="shared" si="19"/>
        <v>7236966</v>
      </c>
      <c r="L228" s="4">
        <f t="shared" si="19"/>
        <v>7257963</v>
      </c>
      <c r="M228" s="4">
        <f t="shared" si="19"/>
        <v>7271961</v>
      </c>
      <c r="N228" s="4">
        <f t="shared" si="19"/>
        <v>7296457.5</v>
      </c>
      <c r="O228" s="4">
        <f t="shared" si="19"/>
        <v>7292958</v>
      </c>
      <c r="P228" s="4">
        <f t="shared" si="19"/>
        <v>7313955</v>
      </c>
      <c r="Q228" s="4">
        <f t="shared" si="19"/>
        <v>7313955</v>
      </c>
      <c r="R228" s="4">
        <f t="shared" si="19"/>
        <v>7345450.5</v>
      </c>
      <c r="S228" s="4">
        <f t="shared" si="19"/>
        <v>7376946</v>
      </c>
      <c r="T228" s="4">
        <f t="shared" si="19"/>
        <v>7404942</v>
      </c>
      <c r="U228" s="4">
        <f t="shared" si="19"/>
        <v>7415440.5</v>
      </c>
    </row>
    <row r="229" spans="2:21" x14ac:dyDescent="0.2">
      <c r="C229" s="3" t="s">
        <v>27</v>
      </c>
      <c r="D229" s="3"/>
      <c r="E229" s="4">
        <f t="shared" ref="E229:U229" si="20">$D24*(E24+E74+E123+E173)</f>
        <v>2125000</v>
      </c>
      <c r="F229" s="4">
        <f t="shared" si="20"/>
        <v>2105000</v>
      </c>
      <c r="G229" s="4">
        <f t="shared" si="20"/>
        <v>2100000</v>
      </c>
      <c r="H229" s="4">
        <f t="shared" si="20"/>
        <v>2120000</v>
      </c>
      <c r="I229" s="4">
        <f t="shared" si="20"/>
        <v>2135000</v>
      </c>
      <c r="J229" s="4">
        <f t="shared" si="20"/>
        <v>2135000</v>
      </c>
      <c r="K229" s="4">
        <f t="shared" si="20"/>
        <v>2140000</v>
      </c>
      <c r="L229" s="4">
        <f t="shared" si="20"/>
        <v>2165000</v>
      </c>
      <c r="M229" s="4">
        <f t="shared" si="20"/>
        <v>2170000</v>
      </c>
      <c r="N229" s="4">
        <f t="shared" si="20"/>
        <v>2185000</v>
      </c>
      <c r="O229" s="4">
        <f t="shared" si="20"/>
        <v>2195000</v>
      </c>
      <c r="P229" s="4">
        <f t="shared" si="20"/>
        <v>2200000</v>
      </c>
      <c r="Q229" s="4">
        <f t="shared" si="20"/>
        <v>2200000</v>
      </c>
      <c r="R229" s="4">
        <f t="shared" si="20"/>
        <v>2210000</v>
      </c>
      <c r="S229" s="4">
        <f t="shared" si="20"/>
        <v>2215000</v>
      </c>
      <c r="T229" s="4">
        <f t="shared" si="20"/>
        <v>2185000</v>
      </c>
      <c r="U229" s="4">
        <f t="shared" si="20"/>
        <v>2215000</v>
      </c>
    </row>
    <row r="230" spans="2:21" x14ac:dyDescent="0.2">
      <c r="B230" s="3" t="s">
        <v>30</v>
      </c>
      <c r="C230" s="3" t="s">
        <v>21</v>
      </c>
      <c r="D230" s="3"/>
      <c r="E230" s="4">
        <f t="shared" ref="E230:U230" si="21">$D25*(E25+E75+E124+E174)</f>
        <v>22423.5</v>
      </c>
      <c r="F230" s="4">
        <f t="shared" si="21"/>
        <v>22522.5</v>
      </c>
      <c r="G230" s="4">
        <f t="shared" si="21"/>
        <v>22423.5</v>
      </c>
      <c r="H230" s="4">
        <f t="shared" si="21"/>
        <v>22473</v>
      </c>
      <c r="I230" s="4">
        <f t="shared" si="21"/>
        <v>22176</v>
      </c>
      <c r="J230" s="4">
        <f t="shared" si="21"/>
        <v>22126.5</v>
      </c>
      <c r="K230" s="4">
        <f t="shared" si="21"/>
        <v>21879</v>
      </c>
      <c r="L230" s="4">
        <f t="shared" si="21"/>
        <v>21235.5</v>
      </c>
      <c r="M230" s="4">
        <f t="shared" si="21"/>
        <v>20938.5</v>
      </c>
      <c r="N230" s="4">
        <f t="shared" si="21"/>
        <v>20740.5</v>
      </c>
      <c r="O230" s="4">
        <f t="shared" si="21"/>
        <v>20344.5</v>
      </c>
      <c r="P230" s="4">
        <f t="shared" si="21"/>
        <v>20295</v>
      </c>
      <c r="Q230" s="4">
        <f t="shared" si="21"/>
        <v>19948.5</v>
      </c>
      <c r="R230" s="4">
        <f t="shared" si="21"/>
        <v>19503</v>
      </c>
      <c r="S230" s="4">
        <f t="shared" si="21"/>
        <v>19057.5</v>
      </c>
      <c r="T230" s="4">
        <f t="shared" si="21"/>
        <v>18414</v>
      </c>
      <c r="U230" s="4">
        <f t="shared" si="21"/>
        <v>17968.5</v>
      </c>
    </row>
    <row r="231" spans="2:21" x14ac:dyDescent="0.2">
      <c r="C231" s="3" t="s">
        <v>22</v>
      </c>
      <c r="D231" s="3"/>
      <c r="E231" s="4">
        <f t="shared" ref="E231:U231" si="22">$D26*(E26+E76+E125+E175)</f>
        <v>429513.5</v>
      </c>
      <c r="F231" s="4">
        <f t="shared" si="22"/>
        <v>431307.5</v>
      </c>
      <c r="G231" s="4">
        <f t="shared" si="22"/>
        <v>432354</v>
      </c>
      <c r="H231" s="4">
        <f t="shared" si="22"/>
        <v>432503.5</v>
      </c>
      <c r="I231" s="4">
        <f t="shared" si="22"/>
        <v>434447</v>
      </c>
      <c r="J231" s="4">
        <f t="shared" si="22"/>
        <v>435493.5</v>
      </c>
      <c r="K231" s="4">
        <f t="shared" si="22"/>
        <v>436689.5</v>
      </c>
      <c r="L231" s="4">
        <f t="shared" si="22"/>
        <v>439231</v>
      </c>
      <c r="M231" s="4">
        <f t="shared" si="22"/>
        <v>444314</v>
      </c>
      <c r="N231" s="4">
        <f t="shared" si="22"/>
        <v>446706</v>
      </c>
      <c r="O231" s="4">
        <f t="shared" si="22"/>
        <v>448948.5</v>
      </c>
      <c r="P231" s="4">
        <f t="shared" si="22"/>
        <v>450892</v>
      </c>
      <c r="Q231" s="4">
        <f t="shared" si="22"/>
        <v>452088</v>
      </c>
      <c r="R231" s="4">
        <f t="shared" si="22"/>
        <v>454629.5</v>
      </c>
      <c r="S231" s="4">
        <f t="shared" si="22"/>
        <v>456423.5</v>
      </c>
      <c r="T231" s="4">
        <f t="shared" si="22"/>
        <v>459862</v>
      </c>
      <c r="U231" s="4">
        <f t="shared" si="22"/>
        <v>461955</v>
      </c>
    </row>
    <row r="232" spans="2:21" x14ac:dyDescent="0.2">
      <c r="C232" s="3" t="s">
        <v>23</v>
      </c>
      <c r="D232" s="3"/>
      <c r="E232" s="4">
        <f t="shared" ref="E232:U232" si="23">$D27*(E27+E77+E126+E176)</f>
        <v>164964</v>
      </c>
      <c r="F232" s="4">
        <f t="shared" si="23"/>
        <v>168459</v>
      </c>
      <c r="G232" s="4">
        <f t="shared" si="23"/>
        <v>168459</v>
      </c>
      <c r="H232" s="4">
        <f t="shared" si="23"/>
        <v>171954</v>
      </c>
      <c r="I232" s="4">
        <f t="shared" si="23"/>
        <v>175099.5</v>
      </c>
      <c r="J232" s="4">
        <f t="shared" si="23"/>
        <v>177196.5</v>
      </c>
      <c r="K232" s="4">
        <f t="shared" si="23"/>
        <v>178944</v>
      </c>
      <c r="L232" s="4">
        <f t="shared" si="23"/>
        <v>185235</v>
      </c>
      <c r="M232" s="4">
        <f t="shared" si="23"/>
        <v>183837</v>
      </c>
      <c r="N232" s="4">
        <f t="shared" si="23"/>
        <v>187332</v>
      </c>
      <c r="O232" s="4">
        <f t="shared" si="23"/>
        <v>189778.5</v>
      </c>
      <c r="P232" s="4">
        <f t="shared" si="23"/>
        <v>190827</v>
      </c>
      <c r="Q232" s="4">
        <f t="shared" si="23"/>
        <v>196069.5</v>
      </c>
      <c r="R232" s="4">
        <f t="shared" si="23"/>
        <v>199564.5</v>
      </c>
      <c r="S232" s="4">
        <f t="shared" si="23"/>
        <v>203059.5</v>
      </c>
      <c r="T232" s="4">
        <f t="shared" si="23"/>
        <v>207952.5</v>
      </c>
      <c r="U232" s="4">
        <f t="shared" si="23"/>
        <v>212845.5</v>
      </c>
    </row>
    <row r="233" spans="2:21" x14ac:dyDescent="0.2">
      <c r="C233" s="3" t="s">
        <v>24</v>
      </c>
      <c r="D233" s="3"/>
      <c r="E233" s="4">
        <f t="shared" ref="E233:U233" si="24">$D28*(E28+E78+E127+E177)</f>
        <v>19487</v>
      </c>
      <c r="F233" s="4">
        <f t="shared" si="24"/>
        <v>20986</v>
      </c>
      <c r="G233" s="4">
        <f t="shared" si="24"/>
        <v>22485</v>
      </c>
      <c r="H233" s="4">
        <f t="shared" si="24"/>
        <v>23234.5</v>
      </c>
      <c r="I233" s="4">
        <f t="shared" si="24"/>
        <v>23234.5</v>
      </c>
      <c r="J233" s="4">
        <f t="shared" si="24"/>
        <v>23984</v>
      </c>
      <c r="K233" s="4">
        <f t="shared" si="24"/>
        <v>26982</v>
      </c>
      <c r="L233" s="4">
        <f t="shared" si="24"/>
        <v>27731.5</v>
      </c>
      <c r="M233" s="4">
        <f t="shared" si="24"/>
        <v>29230.5</v>
      </c>
      <c r="N233" s="4">
        <f t="shared" si="24"/>
        <v>29230.5</v>
      </c>
      <c r="O233" s="4">
        <f t="shared" si="24"/>
        <v>29230.5</v>
      </c>
      <c r="P233" s="4">
        <f t="shared" si="24"/>
        <v>29980</v>
      </c>
      <c r="Q233" s="4">
        <f t="shared" si="24"/>
        <v>29980</v>
      </c>
      <c r="R233" s="4">
        <f t="shared" si="24"/>
        <v>30729.5</v>
      </c>
      <c r="S233" s="4">
        <f t="shared" si="24"/>
        <v>32228.5</v>
      </c>
      <c r="T233" s="4">
        <f t="shared" si="24"/>
        <v>34477</v>
      </c>
      <c r="U233" s="4">
        <f t="shared" si="24"/>
        <v>35226.5</v>
      </c>
    </row>
    <row r="234" spans="2:21" x14ac:dyDescent="0.2">
      <c r="C234" s="3" t="s">
        <v>25</v>
      </c>
      <c r="D234" s="3"/>
      <c r="E234" s="4">
        <f t="shared" ref="E234:U234" si="25">$D29*(E29+E79+E128+E178)</f>
        <v>31489.5</v>
      </c>
      <c r="F234" s="4">
        <f t="shared" si="25"/>
        <v>31489.5</v>
      </c>
      <c r="G234" s="4">
        <f t="shared" si="25"/>
        <v>31489.5</v>
      </c>
      <c r="H234" s="4">
        <f t="shared" si="25"/>
        <v>31489.5</v>
      </c>
      <c r="I234" s="4">
        <f t="shared" si="25"/>
        <v>31489.5</v>
      </c>
      <c r="J234" s="4">
        <f t="shared" si="25"/>
        <v>31489.5</v>
      </c>
      <c r="K234" s="4">
        <f t="shared" si="25"/>
        <v>32989</v>
      </c>
      <c r="L234" s="4">
        <f t="shared" si="25"/>
        <v>34488.5</v>
      </c>
      <c r="M234" s="4">
        <f t="shared" si="25"/>
        <v>37487.5</v>
      </c>
      <c r="N234" s="4">
        <f t="shared" si="25"/>
        <v>37487.5</v>
      </c>
      <c r="O234" s="4">
        <f t="shared" si="25"/>
        <v>38987</v>
      </c>
      <c r="P234" s="4">
        <f t="shared" si="25"/>
        <v>46484.5</v>
      </c>
      <c r="Q234" s="4">
        <f t="shared" si="25"/>
        <v>47984</v>
      </c>
      <c r="R234" s="4">
        <f t="shared" si="25"/>
        <v>47984</v>
      </c>
      <c r="S234" s="4">
        <f t="shared" si="25"/>
        <v>49483.5</v>
      </c>
      <c r="T234" s="4">
        <f t="shared" si="25"/>
        <v>49483.5</v>
      </c>
      <c r="U234" s="4">
        <f t="shared" si="25"/>
        <v>49483.5</v>
      </c>
    </row>
    <row r="235" spans="2:21" x14ac:dyDescent="0.2">
      <c r="C235" s="3" t="s">
        <v>26</v>
      </c>
      <c r="D235" s="3"/>
      <c r="E235" s="4">
        <f t="shared" ref="E235:U235" si="26">$D30*(E30+E80+E129+E179)</f>
        <v>41994</v>
      </c>
      <c r="F235" s="4">
        <f t="shared" si="26"/>
        <v>41994</v>
      </c>
      <c r="G235" s="4">
        <f t="shared" si="26"/>
        <v>41994</v>
      </c>
      <c r="H235" s="4">
        <f t="shared" si="26"/>
        <v>41994</v>
      </c>
      <c r="I235" s="4">
        <f t="shared" si="26"/>
        <v>41994</v>
      </c>
      <c r="J235" s="4">
        <f t="shared" si="26"/>
        <v>41994</v>
      </c>
      <c r="K235" s="4">
        <f t="shared" si="26"/>
        <v>41994</v>
      </c>
      <c r="L235" s="4">
        <f t="shared" si="26"/>
        <v>41994</v>
      </c>
      <c r="M235" s="4">
        <f t="shared" si="26"/>
        <v>41994</v>
      </c>
      <c r="N235" s="4">
        <f t="shared" si="26"/>
        <v>41994</v>
      </c>
      <c r="O235" s="4">
        <f t="shared" si="26"/>
        <v>41994</v>
      </c>
      <c r="P235" s="4">
        <f t="shared" si="26"/>
        <v>41994</v>
      </c>
      <c r="Q235" s="4">
        <f t="shared" si="26"/>
        <v>41994</v>
      </c>
      <c r="R235" s="4">
        <f t="shared" si="26"/>
        <v>41994</v>
      </c>
      <c r="S235" s="4">
        <f t="shared" si="26"/>
        <v>41994</v>
      </c>
      <c r="T235" s="4">
        <f t="shared" si="26"/>
        <v>41994</v>
      </c>
      <c r="U235" s="4">
        <f t="shared" si="26"/>
        <v>41994</v>
      </c>
    </row>
    <row r="236" spans="2:21" x14ac:dyDescent="0.2">
      <c r="C236" s="3" t="s">
        <v>27</v>
      </c>
      <c r="D236" s="3"/>
      <c r="E236" s="4">
        <f t="shared" ref="E236:U236" si="27">$D31*(E31+E81+E130+E180)</f>
        <v>5000</v>
      </c>
      <c r="F236" s="4">
        <f t="shared" si="27"/>
        <v>5000</v>
      </c>
      <c r="G236" s="4">
        <f t="shared" si="27"/>
        <v>5000</v>
      </c>
      <c r="H236" s="4">
        <f t="shared" si="27"/>
        <v>5000</v>
      </c>
      <c r="I236" s="4">
        <f t="shared" si="27"/>
        <v>5000</v>
      </c>
      <c r="J236" s="4">
        <f t="shared" si="27"/>
        <v>5000</v>
      </c>
      <c r="K236" s="4">
        <f t="shared" si="27"/>
        <v>5000</v>
      </c>
      <c r="L236" s="4">
        <f t="shared" si="27"/>
        <v>5000</v>
      </c>
      <c r="M236" s="4">
        <f t="shared" si="27"/>
        <v>5000</v>
      </c>
      <c r="N236" s="4">
        <f t="shared" si="27"/>
        <v>5000</v>
      </c>
      <c r="O236" s="4">
        <f t="shared" si="27"/>
        <v>5000</v>
      </c>
      <c r="P236" s="4">
        <f t="shared" si="27"/>
        <v>5000</v>
      </c>
      <c r="Q236" s="4">
        <f t="shared" si="27"/>
        <v>5000</v>
      </c>
      <c r="R236" s="4">
        <f t="shared" si="27"/>
        <v>5000</v>
      </c>
      <c r="S236" s="4">
        <f t="shared" si="27"/>
        <v>5000</v>
      </c>
      <c r="T236" s="4">
        <f t="shared" si="27"/>
        <v>5000</v>
      </c>
      <c r="U236" s="4">
        <f t="shared" si="27"/>
        <v>5000</v>
      </c>
    </row>
    <row r="237" spans="2:21" x14ac:dyDescent="0.2">
      <c r="B237" s="3" t="s">
        <v>31</v>
      </c>
      <c r="C237" s="3" t="s">
        <v>21</v>
      </c>
      <c r="D237" s="3"/>
      <c r="E237" s="4">
        <f t="shared" ref="E237:U237" si="28">$D32*(E32+E82+E131+E181)</f>
        <v>65142</v>
      </c>
      <c r="F237" s="4">
        <f t="shared" si="28"/>
        <v>64053</v>
      </c>
      <c r="G237" s="4">
        <f t="shared" si="28"/>
        <v>63409.5</v>
      </c>
      <c r="H237" s="4">
        <f t="shared" si="28"/>
        <v>62370</v>
      </c>
      <c r="I237" s="4">
        <f t="shared" si="28"/>
        <v>59796</v>
      </c>
      <c r="J237" s="4">
        <f t="shared" si="28"/>
        <v>58855.5</v>
      </c>
      <c r="K237" s="4">
        <f t="shared" si="28"/>
        <v>58063.5</v>
      </c>
      <c r="L237" s="4">
        <f t="shared" si="28"/>
        <v>56677.5</v>
      </c>
      <c r="M237" s="4">
        <f t="shared" si="28"/>
        <v>55044</v>
      </c>
      <c r="N237" s="4">
        <f t="shared" si="28"/>
        <v>53806.5</v>
      </c>
      <c r="O237" s="4">
        <f t="shared" si="28"/>
        <v>52618.5</v>
      </c>
      <c r="P237" s="4">
        <f t="shared" si="28"/>
        <v>51430.5</v>
      </c>
      <c r="Q237" s="4">
        <f t="shared" si="28"/>
        <v>49747.5</v>
      </c>
      <c r="R237" s="4">
        <f t="shared" si="28"/>
        <v>48856.5</v>
      </c>
      <c r="S237" s="4">
        <f t="shared" si="28"/>
        <v>47322</v>
      </c>
      <c r="T237" s="4">
        <f t="shared" si="28"/>
        <v>46084.5</v>
      </c>
      <c r="U237" s="4">
        <f t="shared" si="28"/>
        <v>44946</v>
      </c>
    </row>
    <row r="238" spans="2:21" x14ac:dyDescent="0.2">
      <c r="C238" s="3" t="s">
        <v>22</v>
      </c>
      <c r="D238" s="3"/>
      <c r="E238" s="4">
        <f t="shared" ref="E238:U238" si="29">$D33*(E33+E83+E132+E182)</f>
        <v>989540.5</v>
      </c>
      <c r="F238" s="4">
        <f t="shared" si="29"/>
        <v>991932.5</v>
      </c>
      <c r="G238" s="4">
        <f t="shared" si="29"/>
        <v>994773</v>
      </c>
      <c r="H238" s="4">
        <f t="shared" si="29"/>
        <v>997912.5</v>
      </c>
      <c r="I238" s="4">
        <f t="shared" si="29"/>
        <v>985952.5</v>
      </c>
      <c r="J238" s="4">
        <f t="shared" si="29"/>
        <v>983261.5</v>
      </c>
      <c r="K238" s="4">
        <f t="shared" si="29"/>
        <v>984308</v>
      </c>
      <c r="L238" s="4">
        <f t="shared" si="29"/>
        <v>988793</v>
      </c>
      <c r="M238" s="4">
        <f t="shared" si="29"/>
        <v>993128.5</v>
      </c>
      <c r="N238" s="4">
        <f t="shared" si="29"/>
        <v>999108.5</v>
      </c>
      <c r="O238" s="4">
        <f t="shared" si="29"/>
        <v>1003444</v>
      </c>
      <c r="P238" s="4">
        <f t="shared" si="29"/>
        <v>1010022</v>
      </c>
      <c r="Q238" s="4">
        <f t="shared" si="29"/>
        <v>1014955.5</v>
      </c>
      <c r="R238" s="4">
        <f t="shared" si="29"/>
        <v>1019440.5</v>
      </c>
      <c r="S238" s="4">
        <f t="shared" si="29"/>
        <v>1023776</v>
      </c>
      <c r="T238" s="4">
        <f t="shared" si="29"/>
        <v>1027812.5</v>
      </c>
      <c r="U238" s="4">
        <f t="shared" si="29"/>
        <v>1032746</v>
      </c>
    </row>
    <row r="239" spans="2:21" x14ac:dyDescent="0.2">
      <c r="C239" s="3" t="s">
        <v>23</v>
      </c>
      <c r="D239" s="3"/>
      <c r="E239" s="4">
        <f t="shared" ref="E239:U239" si="30">$D34*(E34+E84+E133+E183)</f>
        <v>274357.5</v>
      </c>
      <c r="F239" s="4">
        <f t="shared" si="30"/>
        <v>277153.5</v>
      </c>
      <c r="G239" s="4">
        <f t="shared" si="30"/>
        <v>278551.5</v>
      </c>
      <c r="H239" s="4">
        <f t="shared" si="30"/>
        <v>281347.5</v>
      </c>
      <c r="I239" s="4">
        <f t="shared" si="30"/>
        <v>272610</v>
      </c>
      <c r="J239" s="4">
        <f t="shared" si="30"/>
        <v>270862.5</v>
      </c>
      <c r="K239" s="4">
        <f t="shared" si="30"/>
        <v>274357.5</v>
      </c>
      <c r="L239" s="4">
        <f t="shared" si="30"/>
        <v>274357.5</v>
      </c>
      <c r="M239" s="4">
        <f t="shared" si="30"/>
        <v>276804</v>
      </c>
      <c r="N239" s="4">
        <f t="shared" si="30"/>
        <v>276804</v>
      </c>
      <c r="O239" s="4">
        <f t="shared" si="30"/>
        <v>275406</v>
      </c>
      <c r="P239" s="4">
        <f t="shared" si="30"/>
        <v>278551.5</v>
      </c>
      <c r="Q239" s="4">
        <f t="shared" si="30"/>
        <v>283095</v>
      </c>
      <c r="R239" s="4">
        <f t="shared" si="30"/>
        <v>285192</v>
      </c>
      <c r="S239" s="4">
        <f t="shared" si="30"/>
        <v>291483</v>
      </c>
      <c r="T239" s="4">
        <f t="shared" si="30"/>
        <v>294279</v>
      </c>
      <c r="U239" s="4">
        <f t="shared" si="30"/>
        <v>299172</v>
      </c>
    </row>
    <row r="240" spans="2:21" x14ac:dyDescent="0.2">
      <c r="C240" s="3" t="s">
        <v>24</v>
      </c>
      <c r="D240" s="3"/>
      <c r="E240" s="4">
        <f t="shared" ref="E240:U240" si="31">$D35*(E35+E85+E134+E184)</f>
        <v>47218.5</v>
      </c>
      <c r="F240" s="4">
        <f t="shared" si="31"/>
        <v>47968</v>
      </c>
      <c r="G240" s="4">
        <f t="shared" si="31"/>
        <v>47968</v>
      </c>
      <c r="H240" s="4">
        <f t="shared" si="31"/>
        <v>47968</v>
      </c>
      <c r="I240" s="4">
        <f t="shared" si="31"/>
        <v>50216.5</v>
      </c>
      <c r="J240" s="4">
        <f t="shared" si="31"/>
        <v>50216.5</v>
      </c>
      <c r="K240" s="4">
        <f t="shared" si="31"/>
        <v>50216.5</v>
      </c>
      <c r="L240" s="4">
        <f t="shared" si="31"/>
        <v>50966</v>
      </c>
      <c r="M240" s="4">
        <f t="shared" si="31"/>
        <v>51715.5</v>
      </c>
      <c r="N240" s="4">
        <f t="shared" si="31"/>
        <v>51715.5</v>
      </c>
      <c r="O240" s="4">
        <f t="shared" si="31"/>
        <v>51715.5</v>
      </c>
      <c r="P240" s="4">
        <f t="shared" si="31"/>
        <v>51715.5</v>
      </c>
      <c r="Q240" s="4">
        <f t="shared" si="31"/>
        <v>50966</v>
      </c>
      <c r="R240" s="4">
        <f t="shared" si="31"/>
        <v>50966</v>
      </c>
      <c r="S240" s="4">
        <f t="shared" si="31"/>
        <v>50966</v>
      </c>
      <c r="T240" s="4">
        <f t="shared" si="31"/>
        <v>52465</v>
      </c>
      <c r="U240" s="4">
        <f t="shared" si="31"/>
        <v>52465</v>
      </c>
    </row>
    <row r="241" spans="2:21" x14ac:dyDescent="0.2">
      <c r="C241" s="3" t="s">
        <v>25</v>
      </c>
      <c r="D241" s="3"/>
      <c r="E241" s="4">
        <f t="shared" ref="E241:U241" si="32">$D36*(E36+E86+E135+E185)</f>
        <v>205431.5</v>
      </c>
      <c r="F241" s="4">
        <f t="shared" si="32"/>
        <v>206931</v>
      </c>
      <c r="G241" s="4">
        <f t="shared" si="32"/>
        <v>206931</v>
      </c>
      <c r="H241" s="4">
        <f t="shared" si="32"/>
        <v>212929</v>
      </c>
      <c r="I241" s="4">
        <f t="shared" si="32"/>
        <v>212929</v>
      </c>
      <c r="J241" s="4">
        <f t="shared" si="32"/>
        <v>212929</v>
      </c>
      <c r="K241" s="4">
        <f t="shared" si="32"/>
        <v>211429.5</v>
      </c>
      <c r="L241" s="4">
        <f t="shared" si="32"/>
        <v>209930</v>
      </c>
      <c r="M241" s="4">
        <f t="shared" si="32"/>
        <v>209930</v>
      </c>
      <c r="N241" s="4">
        <f t="shared" si="32"/>
        <v>209930</v>
      </c>
      <c r="O241" s="4">
        <f t="shared" si="32"/>
        <v>209930</v>
      </c>
      <c r="P241" s="4">
        <f t="shared" si="32"/>
        <v>209930</v>
      </c>
      <c r="Q241" s="4">
        <f t="shared" si="32"/>
        <v>212929</v>
      </c>
      <c r="R241" s="4">
        <f t="shared" si="32"/>
        <v>214428.5</v>
      </c>
      <c r="S241" s="4">
        <f t="shared" si="32"/>
        <v>214428.5</v>
      </c>
      <c r="T241" s="4">
        <f t="shared" si="32"/>
        <v>217427.5</v>
      </c>
      <c r="U241" s="4">
        <f t="shared" si="32"/>
        <v>217427.5</v>
      </c>
    </row>
    <row r="242" spans="2:21" x14ac:dyDescent="0.2">
      <c r="C242" s="3" t="s">
        <v>26</v>
      </c>
      <c r="D242" s="3"/>
      <c r="E242" s="4">
        <f t="shared" ref="E242:U242" si="33">$D37*(E37+E87+E136+E186)</f>
        <v>507427.5</v>
      </c>
      <c r="F242" s="4">
        <f t="shared" si="33"/>
        <v>510927</v>
      </c>
      <c r="G242" s="4">
        <f t="shared" si="33"/>
        <v>510927</v>
      </c>
      <c r="H242" s="4">
        <f t="shared" si="33"/>
        <v>510927</v>
      </c>
      <c r="I242" s="4">
        <f t="shared" si="33"/>
        <v>528424.5</v>
      </c>
      <c r="J242" s="4">
        <f t="shared" si="33"/>
        <v>528424.5</v>
      </c>
      <c r="K242" s="4">
        <f t="shared" si="33"/>
        <v>528424.5</v>
      </c>
      <c r="L242" s="4">
        <f t="shared" si="33"/>
        <v>531924</v>
      </c>
      <c r="M242" s="4">
        <f t="shared" si="33"/>
        <v>531924</v>
      </c>
      <c r="N242" s="4">
        <f t="shared" si="33"/>
        <v>549421.5</v>
      </c>
      <c r="O242" s="4">
        <f t="shared" si="33"/>
        <v>549421.5</v>
      </c>
      <c r="P242" s="4">
        <f t="shared" si="33"/>
        <v>549421.5</v>
      </c>
      <c r="Q242" s="4">
        <f t="shared" si="33"/>
        <v>549421.5</v>
      </c>
      <c r="R242" s="4">
        <f t="shared" si="33"/>
        <v>549421.5</v>
      </c>
      <c r="S242" s="4">
        <f t="shared" si="33"/>
        <v>549421.5</v>
      </c>
      <c r="T242" s="4">
        <f t="shared" si="33"/>
        <v>556420.5</v>
      </c>
      <c r="U242" s="4">
        <f t="shared" si="33"/>
        <v>556420.5</v>
      </c>
    </row>
    <row r="243" spans="2:21" x14ac:dyDescent="0.2">
      <c r="C243" s="3" t="s">
        <v>27</v>
      </c>
      <c r="D243" s="3"/>
      <c r="E243" s="4">
        <f t="shared" ref="E243:U243" si="34">$D38*(E38+E88+E137+E187)</f>
        <v>105000</v>
      </c>
      <c r="F243" s="4">
        <f t="shared" si="34"/>
        <v>105000</v>
      </c>
      <c r="G243" s="4">
        <f t="shared" si="34"/>
        <v>105000</v>
      </c>
      <c r="H243" s="4">
        <f t="shared" si="34"/>
        <v>105000</v>
      </c>
      <c r="I243" s="4">
        <f t="shared" si="34"/>
        <v>105000</v>
      </c>
      <c r="J243" s="4">
        <f t="shared" si="34"/>
        <v>105000</v>
      </c>
      <c r="K243" s="4">
        <f t="shared" si="34"/>
        <v>105000</v>
      </c>
      <c r="L243" s="4">
        <f t="shared" si="34"/>
        <v>105000</v>
      </c>
      <c r="M243" s="4">
        <f t="shared" si="34"/>
        <v>105000</v>
      </c>
      <c r="N243" s="4">
        <f t="shared" si="34"/>
        <v>105000</v>
      </c>
      <c r="O243" s="4">
        <f t="shared" si="34"/>
        <v>105000</v>
      </c>
      <c r="P243" s="4">
        <f t="shared" si="34"/>
        <v>105000</v>
      </c>
      <c r="Q243" s="4">
        <f t="shared" si="34"/>
        <v>105000</v>
      </c>
      <c r="R243" s="4">
        <f t="shared" si="34"/>
        <v>105000</v>
      </c>
      <c r="S243" s="4">
        <f t="shared" si="34"/>
        <v>105000</v>
      </c>
      <c r="T243" s="4">
        <f t="shared" si="34"/>
        <v>105000</v>
      </c>
      <c r="U243" s="4">
        <f t="shared" si="34"/>
        <v>105000</v>
      </c>
    </row>
    <row r="244" spans="2:21" x14ac:dyDescent="0.2">
      <c r="B244" s="3" t="s">
        <v>32</v>
      </c>
      <c r="C244" s="3" t="s">
        <v>21</v>
      </c>
      <c r="D244" s="3"/>
      <c r="E244" s="4">
        <f t="shared" ref="E244:U244" si="35">$D39*(E39+E89+E138+E188)</f>
        <v>463518</v>
      </c>
      <c r="F244" s="4">
        <f t="shared" si="35"/>
        <v>464409</v>
      </c>
      <c r="G244" s="4">
        <f t="shared" si="35"/>
        <v>463765.5</v>
      </c>
      <c r="H244" s="4">
        <f t="shared" si="35"/>
        <v>465498</v>
      </c>
      <c r="I244" s="4">
        <f t="shared" si="35"/>
        <v>461241</v>
      </c>
      <c r="J244" s="4">
        <f t="shared" si="35"/>
        <v>457627.5</v>
      </c>
      <c r="K244" s="4">
        <f t="shared" si="35"/>
        <v>462676.5</v>
      </c>
      <c r="L244" s="4">
        <f t="shared" si="35"/>
        <v>455350.5</v>
      </c>
      <c r="M244" s="4">
        <f t="shared" si="35"/>
        <v>453469.5</v>
      </c>
      <c r="N244" s="4">
        <f t="shared" si="35"/>
        <v>449014.5</v>
      </c>
      <c r="O244" s="4">
        <f t="shared" si="35"/>
        <v>445351.5</v>
      </c>
      <c r="P244" s="4">
        <f t="shared" si="35"/>
        <v>482031</v>
      </c>
      <c r="Q244" s="4">
        <f t="shared" si="35"/>
        <v>483664.5</v>
      </c>
      <c r="R244" s="4">
        <f t="shared" si="35"/>
        <v>475101</v>
      </c>
      <c r="S244" s="4">
        <f t="shared" si="35"/>
        <v>437382</v>
      </c>
      <c r="T244" s="4">
        <f t="shared" si="35"/>
        <v>427135.5</v>
      </c>
      <c r="U244" s="4">
        <f t="shared" si="35"/>
        <v>424314</v>
      </c>
    </row>
    <row r="245" spans="2:21" x14ac:dyDescent="0.2">
      <c r="C245" s="3" t="s">
        <v>22</v>
      </c>
      <c r="D245" s="3"/>
      <c r="E245" s="4">
        <f t="shared" ref="E245:U245" si="36">$D40*(E40+E90+E139+E189)</f>
        <v>9142373.5</v>
      </c>
      <c r="F245" s="4">
        <f t="shared" si="36"/>
        <v>9198286.5</v>
      </c>
      <c r="G245" s="4">
        <f t="shared" si="36"/>
        <v>9227140</v>
      </c>
      <c r="H245" s="4">
        <f t="shared" si="36"/>
        <v>9259731</v>
      </c>
      <c r="I245" s="4">
        <f t="shared" si="36"/>
        <v>9279913.5</v>
      </c>
      <c r="J245" s="4">
        <f t="shared" si="36"/>
        <v>9302936.5</v>
      </c>
      <c r="K245" s="4">
        <f t="shared" si="36"/>
        <v>9340162</v>
      </c>
      <c r="L245" s="4">
        <f t="shared" si="36"/>
        <v>9391739.5</v>
      </c>
      <c r="M245" s="4">
        <f t="shared" si="36"/>
        <v>9451988</v>
      </c>
      <c r="N245" s="4">
        <f t="shared" si="36"/>
        <v>9535409</v>
      </c>
      <c r="O245" s="4">
        <f t="shared" si="36"/>
        <v>9632584</v>
      </c>
      <c r="P245" s="4">
        <f t="shared" si="36"/>
        <v>9752483</v>
      </c>
      <c r="Q245" s="4">
        <f t="shared" si="36"/>
        <v>9829625</v>
      </c>
      <c r="R245" s="4">
        <f t="shared" si="36"/>
        <v>9907514.5</v>
      </c>
      <c r="S245" s="4">
        <f t="shared" si="36"/>
        <v>9946982.5</v>
      </c>
      <c r="T245" s="4">
        <f t="shared" si="36"/>
        <v>10027712.5</v>
      </c>
      <c r="U245" s="4">
        <f t="shared" si="36"/>
        <v>10107396</v>
      </c>
    </row>
    <row r="246" spans="2:21" x14ac:dyDescent="0.2">
      <c r="C246" s="3" t="s">
        <v>23</v>
      </c>
      <c r="D246" s="3"/>
      <c r="E246" s="4">
        <f t="shared" ref="E246:U246" si="37">$D41*(E41+E91+E140+E190)</f>
        <v>6689430</v>
      </c>
      <c r="F246" s="4">
        <f t="shared" si="37"/>
        <v>6771213</v>
      </c>
      <c r="G246" s="4">
        <f t="shared" si="37"/>
        <v>6827133</v>
      </c>
      <c r="H246" s="4">
        <f t="shared" si="37"/>
        <v>6890043</v>
      </c>
      <c r="I246" s="4">
        <f t="shared" si="37"/>
        <v>6969030</v>
      </c>
      <c r="J246" s="4">
        <f t="shared" si="37"/>
        <v>7022503.5</v>
      </c>
      <c r="K246" s="4">
        <f t="shared" si="37"/>
        <v>7087510.5</v>
      </c>
      <c r="L246" s="4">
        <f t="shared" si="37"/>
        <v>7164400.5</v>
      </c>
      <c r="M246" s="4">
        <f t="shared" si="37"/>
        <v>7235349</v>
      </c>
      <c r="N246" s="4">
        <f t="shared" si="37"/>
        <v>7295463</v>
      </c>
      <c r="O246" s="4">
        <f t="shared" si="37"/>
        <v>7371654</v>
      </c>
      <c r="P246" s="4">
        <f t="shared" si="37"/>
        <v>7466019</v>
      </c>
      <c r="Q246" s="4">
        <f t="shared" si="37"/>
        <v>7564927.5</v>
      </c>
      <c r="R246" s="4">
        <f t="shared" si="37"/>
        <v>7650555</v>
      </c>
      <c r="S246" s="4">
        <f t="shared" si="37"/>
        <v>7744920</v>
      </c>
      <c r="T246" s="4">
        <f t="shared" si="37"/>
        <v>7887516</v>
      </c>
      <c r="U246" s="4">
        <f t="shared" si="37"/>
        <v>8017530</v>
      </c>
    </row>
    <row r="247" spans="2:21" x14ac:dyDescent="0.2">
      <c r="C247" s="3" t="s">
        <v>24</v>
      </c>
      <c r="D247" s="3"/>
      <c r="E247" s="4">
        <f t="shared" ref="E247:U247" si="38">$D42*(E42+E92+E141+E191)</f>
        <v>913640.5</v>
      </c>
      <c r="F247" s="4">
        <f t="shared" si="38"/>
        <v>956362</v>
      </c>
      <c r="G247" s="4">
        <f t="shared" si="38"/>
        <v>971352</v>
      </c>
      <c r="H247" s="4">
        <f t="shared" si="38"/>
        <v>984843</v>
      </c>
      <c r="I247" s="4">
        <f t="shared" si="38"/>
        <v>998334</v>
      </c>
      <c r="J247" s="4">
        <f t="shared" si="38"/>
        <v>1027564.5</v>
      </c>
      <c r="K247" s="4">
        <f t="shared" si="38"/>
        <v>1052298</v>
      </c>
      <c r="L247" s="4">
        <f t="shared" si="38"/>
        <v>1075532.5</v>
      </c>
      <c r="M247" s="4">
        <f t="shared" si="38"/>
        <v>1085276</v>
      </c>
      <c r="N247" s="4">
        <f t="shared" si="38"/>
        <v>1095019.5</v>
      </c>
      <c r="O247" s="4">
        <f t="shared" si="38"/>
        <v>1108510.5</v>
      </c>
      <c r="P247" s="4">
        <f t="shared" si="38"/>
        <v>1122751</v>
      </c>
      <c r="Q247" s="4">
        <f t="shared" si="38"/>
        <v>1127997.5</v>
      </c>
      <c r="R247" s="4">
        <f t="shared" si="38"/>
        <v>1158727</v>
      </c>
      <c r="S247" s="4">
        <f t="shared" si="38"/>
        <v>1178214</v>
      </c>
      <c r="T247" s="4">
        <f t="shared" si="38"/>
        <v>1218687</v>
      </c>
      <c r="U247" s="4">
        <f t="shared" si="38"/>
        <v>1250915.5</v>
      </c>
    </row>
    <row r="248" spans="2:21" x14ac:dyDescent="0.2">
      <c r="C248" s="3" t="s">
        <v>25</v>
      </c>
      <c r="D248" s="3"/>
      <c r="E248" s="4">
        <f t="shared" ref="E248:U248" si="39">$D43*(E43+E93+E142+E192)</f>
        <v>832222.5</v>
      </c>
      <c r="F248" s="4">
        <f t="shared" si="39"/>
        <v>842719</v>
      </c>
      <c r="G248" s="4">
        <f t="shared" si="39"/>
        <v>857714</v>
      </c>
      <c r="H248" s="4">
        <f t="shared" si="39"/>
        <v>866711</v>
      </c>
      <c r="I248" s="4">
        <f t="shared" si="39"/>
        <v>883205.5</v>
      </c>
      <c r="J248" s="4">
        <f t="shared" si="39"/>
        <v>896701</v>
      </c>
      <c r="K248" s="4">
        <f t="shared" si="39"/>
        <v>914695</v>
      </c>
      <c r="L248" s="4">
        <f t="shared" si="39"/>
        <v>940186.5</v>
      </c>
      <c r="M248" s="4">
        <f t="shared" si="39"/>
        <v>941686</v>
      </c>
      <c r="N248" s="4">
        <f t="shared" si="39"/>
        <v>964178.5</v>
      </c>
      <c r="O248" s="4">
        <f t="shared" si="39"/>
        <v>965678</v>
      </c>
      <c r="P248" s="4">
        <f t="shared" si="39"/>
        <v>964178.5</v>
      </c>
      <c r="Q248" s="4">
        <f t="shared" si="39"/>
        <v>985171.5</v>
      </c>
      <c r="R248" s="4">
        <f t="shared" si="39"/>
        <v>1009163.5</v>
      </c>
      <c r="S248" s="4">
        <f t="shared" si="39"/>
        <v>1019660</v>
      </c>
      <c r="T248" s="4">
        <f t="shared" si="39"/>
        <v>1019660</v>
      </c>
      <c r="U248" s="4">
        <f t="shared" si="39"/>
        <v>1051149.5</v>
      </c>
    </row>
    <row r="249" spans="2:21" x14ac:dyDescent="0.2">
      <c r="C249" s="3" t="s">
        <v>26</v>
      </c>
      <c r="D249" s="3"/>
      <c r="E249" s="4">
        <f t="shared" ref="E249:U249" si="40">$D44*(E44+E94+E143+E193)</f>
        <v>1497786</v>
      </c>
      <c r="F249" s="4">
        <f t="shared" si="40"/>
        <v>1487287.5</v>
      </c>
      <c r="G249" s="4">
        <f t="shared" si="40"/>
        <v>1508284.5</v>
      </c>
      <c r="H249" s="4">
        <f t="shared" si="40"/>
        <v>1504785</v>
      </c>
      <c r="I249" s="4">
        <f t="shared" si="40"/>
        <v>1504785</v>
      </c>
      <c r="J249" s="4">
        <f t="shared" si="40"/>
        <v>1536280.5</v>
      </c>
      <c r="K249" s="4">
        <f t="shared" si="40"/>
        <v>1536280.5</v>
      </c>
      <c r="L249" s="4">
        <f t="shared" si="40"/>
        <v>1546779</v>
      </c>
      <c r="M249" s="4">
        <f t="shared" si="40"/>
        <v>1557277.5</v>
      </c>
      <c r="N249" s="4">
        <f t="shared" si="40"/>
        <v>1567776</v>
      </c>
      <c r="O249" s="4">
        <f t="shared" si="40"/>
        <v>1578274.5</v>
      </c>
      <c r="P249" s="4">
        <f t="shared" si="40"/>
        <v>1588773</v>
      </c>
      <c r="Q249" s="4">
        <f t="shared" si="40"/>
        <v>1606270.5</v>
      </c>
      <c r="R249" s="4">
        <f t="shared" si="40"/>
        <v>1616769</v>
      </c>
      <c r="S249" s="4">
        <f t="shared" si="40"/>
        <v>1634266.5</v>
      </c>
      <c r="T249" s="4">
        <f t="shared" si="40"/>
        <v>1651764</v>
      </c>
      <c r="U249" s="4">
        <f t="shared" si="40"/>
        <v>1662262.5</v>
      </c>
    </row>
    <row r="250" spans="2:21" x14ac:dyDescent="0.2">
      <c r="C250" s="3" t="s">
        <v>27</v>
      </c>
      <c r="D250" s="3"/>
      <c r="E250" s="4">
        <f t="shared" ref="E250:U250" si="41">$D45*(E45+E95+E144+E194)</f>
        <v>550000</v>
      </c>
      <c r="F250" s="4">
        <f t="shared" si="41"/>
        <v>565000</v>
      </c>
      <c r="G250" s="4">
        <f t="shared" si="41"/>
        <v>565000</v>
      </c>
      <c r="H250" s="4">
        <f t="shared" si="41"/>
        <v>570000</v>
      </c>
      <c r="I250" s="4">
        <f t="shared" si="41"/>
        <v>565000</v>
      </c>
      <c r="J250" s="4">
        <f t="shared" si="41"/>
        <v>570000</v>
      </c>
      <c r="K250" s="4">
        <f t="shared" si="41"/>
        <v>570000</v>
      </c>
      <c r="L250" s="4">
        <f t="shared" si="41"/>
        <v>580000</v>
      </c>
      <c r="M250" s="4">
        <f t="shared" si="41"/>
        <v>580000</v>
      </c>
      <c r="N250" s="4">
        <f t="shared" si="41"/>
        <v>575000</v>
      </c>
      <c r="O250" s="4">
        <f t="shared" si="41"/>
        <v>580000</v>
      </c>
      <c r="P250" s="4">
        <f t="shared" si="41"/>
        <v>585000</v>
      </c>
      <c r="Q250" s="4">
        <f t="shared" si="41"/>
        <v>585000</v>
      </c>
      <c r="R250" s="4">
        <f t="shared" si="41"/>
        <v>585000</v>
      </c>
      <c r="S250" s="4">
        <f t="shared" si="41"/>
        <v>580000</v>
      </c>
      <c r="T250" s="4">
        <f t="shared" si="41"/>
        <v>580000</v>
      </c>
      <c r="U250" s="4">
        <f t="shared" si="41"/>
        <v>580000</v>
      </c>
    </row>
    <row r="251" spans="2:21" x14ac:dyDescent="0.2">
      <c r="B251" s="7" t="s">
        <v>43</v>
      </c>
      <c r="C251" s="3" t="s">
        <v>21</v>
      </c>
      <c r="D251" s="3"/>
      <c r="E251" s="4">
        <f>$D46*(E46+E96+E145+E195)</f>
        <v>172111.5</v>
      </c>
      <c r="F251" s="4">
        <f t="shared" ref="F251:U257" si="42">$D46*(F46+F96+F145+F195)</f>
        <v>173547</v>
      </c>
      <c r="G251" s="4">
        <f t="shared" si="42"/>
        <v>174438</v>
      </c>
      <c r="H251" s="4">
        <f t="shared" si="42"/>
        <v>173695.5</v>
      </c>
      <c r="I251" s="4">
        <f t="shared" si="42"/>
        <v>172606.5</v>
      </c>
      <c r="J251" s="4">
        <f t="shared" si="42"/>
        <v>171814.5</v>
      </c>
      <c r="K251" s="4">
        <f t="shared" si="42"/>
        <v>170478</v>
      </c>
      <c r="L251" s="4">
        <f t="shared" si="42"/>
        <v>169191</v>
      </c>
      <c r="M251" s="4">
        <f t="shared" si="42"/>
        <v>167607</v>
      </c>
      <c r="N251" s="4">
        <f t="shared" si="42"/>
        <v>166518</v>
      </c>
      <c r="O251" s="4">
        <f t="shared" si="42"/>
        <v>165528</v>
      </c>
      <c r="P251" s="4">
        <f t="shared" si="42"/>
        <v>164785.5</v>
      </c>
      <c r="Q251" s="4">
        <f t="shared" si="42"/>
        <v>165181.5</v>
      </c>
      <c r="R251" s="4">
        <f t="shared" si="42"/>
        <v>164785.5</v>
      </c>
      <c r="S251" s="4">
        <f t="shared" si="42"/>
        <v>165231</v>
      </c>
      <c r="T251" s="4">
        <f t="shared" si="42"/>
        <v>164835</v>
      </c>
      <c r="U251" s="4">
        <f t="shared" si="42"/>
        <v>163350</v>
      </c>
    </row>
    <row r="252" spans="2:21" x14ac:dyDescent="0.2">
      <c r="C252" s="3" t="s">
        <v>22</v>
      </c>
      <c r="D252" s="3"/>
      <c r="E252" s="4">
        <f t="shared" ref="E252:T257" si="43">$D47*(E47+E97+E146+E196)</f>
        <v>1633885.5</v>
      </c>
      <c r="F252" s="4">
        <f t="shared" si="43"/>
        <v>1633437</v>
      </c>
      <c r="G252" s="4">
        <f t="shared" si="43"/>
        <v>1630148</v>
      </c>
      <c r="H252" s="4">
        <f t="shared" si="43"/>
        <v>1629998.5</v>
      </c>
      <c r="I252" s="4">
        <f t="shared" si="43"/>
        <v>1628952</v>
      </c>
      <c r="J252" s="4">
        <f t="shared" si="43"/>
        <v>1627457</v>
      </c>
      <c r="K252" s="4">
        <f t="shared" si="43"/>
        <v>1627008.5</v>
      </c>
      <c r="L252" s="4">
        <f t="shared" si="43"/>
        <v>1628503.5</v>
      </c>
      <c r="M252" s="4">
        <f t="shared" si="43"/>
        <v>1628802.5</v>
      </c>
      <c r="N252" s="4">
        <f t="shared" si="43"/>
        <v>1631045</v>
      </c>
      <c r="O252" s="4">
        <f t="shared" si="43"/>
        <v>1629849</v>
      </c>
      <c r="P252" s="4">
        <f t="shared" si="43"/>
        <v>1630297.5</v>
      </c>
      <c r="Q252" s="4">
        <f t="shared" si="43"/>
        <v>1629101.5</v>
      </c>
      <c r="R252" s="4">
        <f t="shared" si="43"/>
        <v>1630297.5</v>
      </c>
      <c r="S252" s="4">
        <f t="shared" si="43"/>
        <v>1627756</v>
      </c>
      <c r="T252" s="4">
        <f t="shared" si="43"/>
        <v>1626111.5</v>
      </c>
      <c r="U252" s="4">
        <f t="shared" si="42"/>
        <v>1627158</v>
      </c>
    </row>
    <row r="253" spans="2:21" x14ac:dyDescent="0.2">
      <c r="C253" s="3" t="s">
        <v>23</v>
      </c>
      <c r="D253" s="3"/>
      <c r="E253" s="4">
        <f t="shared" si="43"/>
        <v>1283014.5</v>
      </c>
      <c r="F253" s="4">
        <f t="shared" si="42"/>
        <v>1293150</v>
      </c>
      <c r="G253" s="4">
        <f t="shared" si="42"/>
        <v>1297693.5</v>
      </c>
      <c r="H253" s="4">
        <f t="shared" si="42"/>
        <v>1301538</v>
      </c>
      <c r="I253" s="4">
        <f t="shared" si="42"/>
        <v>1309576.5</v>
      </c>
      <c r="J253" s="4">
        <f t="shared" si="42"/>
        <v>1312372.5</v>
      </c>
      <c r="K253" s="4">
        <f t="shared" si="42"/>
        <v>1316916</v>
      </c>
      <c r="L253" s="4">
        <f t="shared" si="42"/>
        <v>1323207</v>
      </c>
      <c r="M253" s="4">
        <f t="shared" si="42"/>
        <v>1337536.5</v>
      </c>
      <c r="N253" s="4">
        <f t="shared" si="42"/>
        <v>1345924.5</v>
      </c>
      <c r="O253" s="4">
        <f t="shared" si="42"/>
        <v>1359205.5</v>
      </c>
      <c r="P253" s="4">
        <f t="shared" si="42"/>
        <v>1369690.5</v>
      </c>
      <c r="Q253" s="4">
        <f t="shared" si="42"/>
        <v>1379127</v>
      </c>
      <c r="R253" s="4">
        <f t="shared" si="42"/>
        <v>1388913</v>
      </c>
      <c r="S253" s="4">
        <f t="shared" si="42"/>
        <v>1401145.5</v>
      </c>
      <c r="T253" s="4">
        <f t="shared" si="42"/>
        <v>1412329.5</v>
      </c>
      <c r="U253" s="4">
        <f t="shared" si="42"/>
        <v>1415824.5</v>
      </c>
    </row>
    <row r="254" spans="2:21" x14ac:dyDescent="0.2">
      <c r="C254" s="3" t="s">
        <v>24</v>
      </c>
      <c r="D254" s="3"/>
      <c r="E254" s="4">
        <f t="shared" si="43"/>
        <v>116172.5</v>
      </c>
      <c r="F254" s="4">
        <f t="shared" si="42"/>
        <v>115423</v>
      </c>
      <c r="G254" s="4">
        <f t="shared" si="42"/>
        <v>114673.5</v>
      </c>
      <c r="H254" s="4">
        <f t="shared" si="42"/>
        <v>115423</v>
      </c>
      <c r="I254" s="4">
        <f t="shared" si="42"/>
        <v>116172.5</v>
      </c>
      <c r="J254" s="4">
        <f t="shared" si="42"/>
        <v>115423</v>
      </c>
      <c r="K254" s="4">
        <f t="shared" si="42"/>
        <v>115423</v>
      </c>
      <c r="L254" s="4">
        <f t="shared" si="42"/>
        <v>117671.5</v>
      </c>
      <c r="M254" s="4">
        <f t="shared" si="42"/>
        <v>117671.5</v>
      </c>
      <c r="N254" s="4">
        <f t="shared" si="42"/>
        <v>118421</v>
      </c>
      <c r="O254" s="4">
        <f t="shared" si="42"/>
        <v>119920</v>
      </c>
      <c r="P254" s="4">
        <f t="shared" si="42"/>
        <v>120669.5</v>
      </c>
      <c r="Q254" s="4">
        <f t="shared" si="42"/>
        <v>121419</v>
      </c>
      <c r="R254" s="4">
        <f t="shared" si="42"/>
        <v>119170.5</v>
      </c>
      <c r="S254" s="4">
        <f t="shared" si="42"/>
        <v>123667.5</v>
      </c>
      <c r="T254" s="4">
        <f t="shared" si="42"/>
        <v>131162.5</v>
      </c>
      <c r="U254" s="4">
        <f t="shared" si="42"/>
        <v>135659.5</v>
      </c>
    </row>
    <row r="255" spans="2:21" x14ac:dyDescent="0.2">
      <c r="C255" s="3" t="s">
        <v>25</v>
      </c>
      <c r="D255" s="3"/>
      <c r="E255" s="4">
        <f t="shared" si="43"/>
        <v>59980</v>
      </c>
      <c r="F255" s="4">
        <f t="shared" si="42"/>
        <v>64478.5</v>
      </c>
      <c r="G255" s="4">
        <f t="shared" si="42"/>
        <v>68977</v>
      </c>
      <c r="H255" s="4">
        <f t="shared" si="42"/>
        <v>67477.5</v>
      </c>
      <c r="I255" s="4">
        <f t="shared" si="42"/>
        <v>70476.5</v>
      </c>
      <c r="J255" s="4">
        <f t="shared" si="42"/>
        <v>71976</v>
      </c>
      <c r="K255" s="4">
        <f t="shared" si="42"/>
        <v>71976</v>
      </c>
      <c r="L255" s="4">
        <f t="shared" si="42"/>
        <v>73475.5</v>
      </c>
      <c r="M255" s="4">
        <f t="shared" si="42"/>
        <v>73475.5</v>
      </c>
      <c r="N255" s="4">
        <f t="shared" si="42"/>
        <v>74975</v>
      </c>
      <c r="O255" s="4">
        <f t="shared" si="42"/>
        <v>74975</v>
      </c>
      <c r="P255" s="4">
        <f t="shared" si="42"/>
        <v>79473.5</v>
      </c>
      <c r="Q255" s="4">
        <f t="shared" si="42"/>
        <v>80973</v>
      </c>
      <c r="R255" s="4">
        <f t="shared" si="42"/>
        <v>85471.5</v>
      </c>
      <c r="S255" s="4">
        <f t="shared" si="42"/>
        <v>85471.5</v>
      </c>
      <c r="T255" s="4">
        <f t="shared" si="42"/>
        <v>88470.5</v>
      </c>
      <c r="U255" s="4">
        <f t="shared" si="42"/>
        <v>88470.5</v>
      </c>
    </row>
    <row r="256" spans="2:21" x14ac:dyDescent="0.2">
      <c r="C256" s="3" t="s">
        <v>26</v>
      </c>
      <c r="D256" s="3"/>
      <c r="E256" s="4">
        <f t="shared" si="43"/>
        <v>24496.5</v>
      </c>
      <c r="F256" s="4">
        <f t="shared" si="42"/>
        <v>24496.5</v>
      </c>
      <c r="G256" s="4">
        <f t="shared" si="42"/>
        <v>24496.5</v>
      </c>
      <c r="H256" s="4">
        <f t="shared" si="42"/>
        <v>24496.5</v>
      </c>
      <c r="I256" s="4">
        <f t="shared" si="42"/>
        <v>24496.5</v>
      </c>
      <c r="J256" s="4">
        <f t="shared" si="42"/>
        <v>24496.5</v>
      </c>
      <c r="K256" s="4">
        <f t="shared" si="42"/>
        <v>24496.5</v>
      </c>
      <c r="L256" s="4">
        <f t="shared" si="42"/>
        <v>24496.5</v>
      </c>
      <c r="M256" s="4">
        <f t="shared" si="42"/>
        <v>27996</v>
      </c>
      <c r="N256" s="4">
        <f t="shared" si="42"/>
        <v>34995</v>
      </c>
      <c r="O256" s="4">
        <f t="shared" si="42"/>
        <v>34995</v>
      </c>
      <c r="P256" s="4">
        <f>$D51*(P51+P101+P150+P200)</f>
        <v>38494.5</v>
      </c>
      <c r="Q256" s="4">
        <f t="shared" si="42"/>
        <v>38494.5</v>
      </c>
      <c r="R256" s="4">
        <f t="shared" si="42"/>
        <v>41994</v>
      </c>
      <c r="S256" s="4">
        <f t="shared" si="42"/>
        <v>41994</v>
      </c>
      <c r="T256" s="4">
        <f t="shared" si="42"/>
        <v>41994</v>
      </c>
      <c r="U256" s="4">
        <f t="shared" si="42"/>
        <v>41994</v>
      </c>
    </row>
    <row r="257" spans="2:21" x14ac:dyDescent="0.2">
      <c r="C257" s="3" t="s">
        <v>27</v>
      </c>
      <c r="D257" s="3"/>
      <c r="E257" s="4">
        <f t="shared" si="43"/>
        <v>0</v>
      </c>
      <c r="F257" s="4">
        <f t="shared" si="42"/>
        <v>0</v>
      </c>
      <c r="G257" s="4">
        <f t="shared" si="42"/>
        <v>0</v>
      </c>
      <c r="H257" s="4">
        <f t="shared" si="42"/>
        <v>0</v>
      </c>
      <c r="I257" s="4">
        <f t="shared" si="42"/>
        <v>0</v>
      </c>
      <c r="J257" s="4">
        <f t="shared" si="42"/>
        <v>0</v>
      </c>
      <c r="K257" s="4">
        <f t="shared" si="42"/>
        <v>0</v>
      </c>
      <c r="L257" s="4">
        <f t="shared" si="42"/>
        <v>0</v>
      </c>
      <c r="M257" s="4">
        <f t="shared" si="42"/>
        <v>0</v>
      </c>
      <c r="N257" s="4">
        <f t="shared" si="42"/>
        <v>5000</v>
      </c>
      <c r="O257" s="4">
        <f t="shared" si="42"/>
        <v>5000</v>
      </c>
      <c r="P257" s="4">
        <f t="shared" si="42"/>
        <v>5000</v>
      </c>
      <c r="Q257" s="4">
        <f t="shared" si="42"/>
        <v>5000</v>
      </c>
      <c r="R257" s="4">
        <f t="shared" si="42"/>
        <v>5000</v>
      </c>
      <c r="S257" s="4">
        <f t="shared" si="42"/>
        <v>5000</v>
      </c>
      <c r="T257" s="4">
        <f t="shared" si="42"/>
        <v>5000</v>
      </c>
      <c r="U257" s="4">
        <f t="shared" si="42"/>
        <v>5000</v>
      </c>
    </row>
    <row r="258" spans="2:21" x14ac:dyDescent="0.2">
      <c r="C258" s="3"/>
      <c r="D258" s="3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spans="2:21" x14ac:dyDescent="0.2">
      <c r="C259" s="3"/>
      <c r="D259" s="3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spans="2:21" x14ac:dyDescent="0.2">
      <c r="D260" s="3"/>
    </row>
    <row r="261" spans="2:21" x14ac:dyDescent="0.2">
      <c r="B261" t="s">
        <v>38</v>
      </c>
      <c r="D261" s="3"/>
      <c r="E261" s="3" t="s">
        <v>2</v>
      </c>
      <c r="F261" s="3" t="s">
        <v>3</v>
      </c>
      <c r="G261" s="3" t="s">
        <v>4</v>
      </c>
      <c r="H261" s="3" t="s">
        <v>5</v>
      </c>
      <c r="I261" s="3" t="s">
        <v>6</v>
      </c>
      <c r="J261" s="3" t="s">
        <v>7</v>
      </c>
      <c r="K261" s="3" t="s">
        <v>8</v>
      </c>
      <c r="L261" s="3" t="s">
        <v>9</v>
      </c>
      <c r="M261" s="3" t="s">
        <v>10</v>
      </c>
      <c r="N261" s="3" t="s">
        <v>11</v>
      </c>
      <c r="O261" s="3" t="s">
        <v>12</v>
      </c>
      <c r="P261" s="3" t="s">
        <v>13</v>
      </c>
      <c r="Q261" s="3" t="s">
        <v>14</v>
      </c>
      <c r="R261" s="3" t="s">
        <v>15</v>
      </c>
      <c r="S261" s="3" t="s">
        <v>16</v>
      </c>
      <c r="T261" s="3" t="s">
        <v>17</v>
      </c>
      <c r="U261" s="3" t="s">
        <v>18</v>
      </c>
    </row>
    <row r="262" spans="2:21" x14ac:dyDescent="0.2">
      <c r="B262" s="3" t="s">
        <v>20</v>
      </c>
      <c r="D262" s="3"/>
      <c r="E262">
        <f>SUM(E209:E215)</f>
        <v>325607862</v>
      </c>
      <c r="F262">
        <f t="shared" ref="F262:U262" si="44">SUM(F209:F215)</f>
        <v>328470739</v>
      </c>
      <c r="G262">
        <f t="shared" si="44"/>
        <v>330711233</v>
      </c>
      <c r="H262">
        <f t="shared" si="44"/>
        <v>332529069.5</v>
      </c>
      <c r="I262">
        <f t="shared" si="44"/>
        <v>334245674.5</v>
      </c>
      <c r="J262">
        <f t="shared" si="44"/>
        <v>336168956.5</v>
      </c>
      <c r="K262">
        <f t="shared" si="44"/>
        <v>338198281.5</v>
      </c>
      <c r="L262">
        <f t="shared" si="44"/>
        <v>340543051.5</v>
      </c>
      <c r="M262">
        <f t="shared" si="44"/>
        <v>343256668.5</v>
      </c>
      <c r="N262">
        <f t="shared" si="44"/>
        <v>346244910.5</v>
      </c>
      <c r="O262">
        <f t="shared" si="44"/>
        <v>349213898.5</v>
      </c>
      <c r="P262">
        <f t="shared" si="44"/>
        <v>352322223</v>
      </c>
      <c r="Q262">
        <f t="shared" si="44"/>
        <v>355230382</v>
      </c>
      <c r="R262">
        <f t="shared" si="44"/>
        <v>358101036.5</v>
      </c>
      <c r="S262">
        <f t="shared" si="44"/>
        <v>361448084.5</v>
      </c>
      <c r="T262">
        <f t="shared" si="44"/>
        <v>364544935.5</v>
      </c>
      <c r="U262">
        <f t="shared" si="44"/>
        <v>367865635</v>
      </c>
    </row>
    <row r="263" spans="2:21" x14ac:dyDescent="0.2">
      <c r="B263" s="3" t="s">
        <v>28</v>
      </c>
      <c r="D263" s="3"/>
      <c r="E263">
        <f>SUM(E216:E222)</f>
        <v>32069936</v>
      </c>
      <c r="F263">
        <f t="shared" ref="F263:U263" si="45">SUM(F216:F222)</f>
        <v>32119763.5</v>
      </c>
      <c r="G263">
        <f t="shared" si="45"/>
        <v>32335075.5</v>
      </c>
      <c r="H263">
        <f t="shared" si="45"/>
        <v>32231880.5</v>
      </c>
      <c r="I263">
        <f t="shared" si="45"/>
        <v>32261112.5</v>
      </c>
      <c r="J263">
        <f t="shared" si="45"/>
        <v>32368592.5</v>
      </c>
      <c r="K263">
        <f t="shared" si="45"/>
        <v>32546388</v>
      </c>
      <c r="L263">
        <f t="shared" si="45"/>
        <v>32589480</v>
      </c>
      <c r="M263">
        <f t="shared" si="45"/>
        <v>32665023</v>
      </c>
      <c r="N263">
        <f t="shared" si="45"/>
        <v>32687565.5</v>
      </c>
      <c r="O263">
        <f t="shared" si="45"/>
        <v>32762342.5</v>
      </c>
      <c r="P263">
        <f t="shared" si="45"/>
        <v>32832566</v>
      </c>
      <c r="Q263">
        <f t="shared" si="45"/>
        <v>32901992.5</v>
      </c>
      <c r="R263">
        <f t="shared" si="45"/>
        <v>32990829</v>
      </c>
      <c r="S263">
        <f t="shared" si="45"/>
        <v>33054303.5</v>
      </c>
      <c r="T263">
        <f t="shared" si="45"/>
        <v>33084563.5</v>
      </c>
      <c r="U263">
        <f t="shared" si="45"/>
        <v>33192804</v>
      </c>
    </row>
    <row r="264" spans="2:21" x14ac:dyDescent="0.2">
      <c r="B264" s="3" t="s">
        <v>29</v>
      </c>
      <c r="D264" s="3"/>
      <c r="E264">
        <f>SUM(E223:E229)</f>
        <v>35489620.5</v>
      </c>
      <c r="F264">
        <f t="shared" ref="F264:U264" si="46">SUM(F223:F229)</f>
        <v>35706977.5</v>
      </c>
      <c r="G264">
        <f t="shared" si="46"/>
        <v>35821991</v>
      </c>
      <c r="H264">
        <f t="shared" si="46"/>
        <v>36002103.5</v>
      </c>
      <c r="I264">
        <f t="shared" si="46"/>
        <v>36176625</v>
      </c>
      <c r="J264">
        <f t="shared" si="46"/>
        <v>36287209.5</v>
      </c>
      <c r="K264">
        <f t="shared" si="46"/>
        <v>36423781</v>
      </c>
      <c r="L264">
        <f t="shared" si="46"/>
        <v>36630518</v>
      </c>
      <c r="M264">
        <f t="shared" si="46"/>
        <v>36770361</v>
      </c>
      <c r="N264">
        <f t="shared" si="46"/>
        <v>36962227.5</v>
      </c>
      <c r="O264">
        <f t="shared" si="46"/>
        <v>37081389</v>
      </c>
      <c r="P264">
        <f t="shared" si="46"/>
        <v>37239273.5</v>
      </c>
      <c r="Q264">
        <f t="shared" si="46"/>
        <v>37362516</v>
      </c>
      <c r="R264">
        <f t="shared" si="46"/>
        <v>37505660.5</v>
      </c>
      <c r="S264">
        <f t="shared" si="46"/>
        <v>37702716</v>
      </c>
      <c r="T264">
        <f t="shared" si="46"/>
        <v>37828742</v>
      </c>
      <c r="U264">
        <f t="shared" si="46"/>
        <v>38023216.5</v>
      </c>
    </row>
    <row r="265" spans="2:21" x14ac:dyDescent="0.2">
      <c r="B265" s="3" t="s">
        <v>30</v>
      </c>
      <c r="D265" s="3"/>
      <c r="E265">
        <f>SUM(E230:E236)</f>
        <v>714871.5</v>
      </c>
      <c r="F265">
        <f t="shared" ref="F265:U265" si="47">SUM(F230:F236)</f>
        <v>721758.5</v>
      </c>
      <c r="G265">
        <f t="shared" si="47"/>
        <v>724205</v>
      </c>
      <c r="H265">
        <f t="shared" si="47"/>
        <v>728648.5</v>
      </c>
      <c r="I265">
        <f t="shared" si="47"/>
        <v>733440.5</v>
      </c>
      <c r="J265">
        <f t="shared" si="47"/>
        <v>737284</v>
      </c>
      <c r="K265">
        <f t="shared" si="47"/>
        <v>744477.5</v>
      </c>
      <c r="L265">
        <f t="shared" si="47"/>
        <v>754915.5</v>
      </c>
      <c r="M265">
        <f t="shared" si="47"/>
        <v>762801.5</v>
      </c>
      <c r="N265">
        <f t="shared" si="47"/>
        <v>768490.5</v>
      </c>
      <c r="O265">
        <f t="shared" si="47"/>
        <v>774283</v>
      </c>
      <c r="P265">
        <f t="shared" si="47"/>
        <v>785472.5</v>
      </c>
      <c r="Q265">
        <f t="shared" si="47"/>
        <v>793064</v>
      </c>
      <c r="R265">
        <f t="shared" si="47"/>
        <v>799404.5</v>
      </c>
      <c r="S265">
        <f t="shared" si="47"/>
        <v>807246.5</v>
      </c>
      <c r="T265">
        <f t="shared" si="47"/>
        <v>817183</v>
      </c>
      <c r="U265">
        <f t="shared" si="47"/>
        <v>824473</v>
      </c>
    </row>
    <row r="266" spans="2:21" x14ac:dyDescent="0.2">
      <c r="B266" s="3" t="s">
        <v>31</v>
      </c>
      <c r="D266" s="3"/>
      <c r="E266">
        <f>SUM(E237:E243)</f>
        <v>2194117.5</v>
      </c>
      <c r="F266">
        <f t="shared" ref="F266:U266" si="48">SUM(F237:F243)</f>
        <v>2203965</v>
      </c>
      <c r="G266">
        <f t="shared" si="48"/>
        <v>2207560</v>
      </c>
      <c r="H266">
        <f t="shared" si="48"/>
        <v>2218454</v>
      </c>
      <c r="I266">
        <f t="shared" si="48"/>
        <v>2214928.5</v>
      </c>
      <c r="J266">
        <f t="shared" si="48"/>
        <v>2209549.5</v>
      </c>
      <c r="K266">
        <f t="shared" si="48"/>
        <v>2211799.5</v>
      </c>
      <c r="L266">
        <f t="shared" si="48"/>
        <v>2217648</v>
      </c>
      <c r="M266">
        <f t="shared" si="48"/>
        <v>2223546</v>
      </c>
      <c r="N266">
        <f t="shared" si="48"/>
        <v>2245786</v>
      </c>
      <c r="O266">
        <f t="shared" si="48"/>
        <v>2247535.5</v>
      </c>
      <c r="P266">
        <f t="shared" si="48"/>
        <v>2256071</v>
      </c>
      <c r="Q266">
        <f t="shared" si="48"/>
        <v>2266114.5</v>
      </c>
      <c r="R266">
        <f t="shared" si="48"/>
        <v>2273305</v>
      </c>
      <c r="S266">
        <f t="shared" si="48"/>
        <v>2282397</v>
      </c>
      <c r="T266">
        <f t="shared" si="48"/>
        <v>2299489</v>
      </c>
      <c r="U266">
        <f t="shared" si="48"/>
        <v>2308177</v>
      </c>
    </row>
    <row r="267" spans="2:21" x14ac:dyDescent="0.2">
      <c r="B267" s="3" t="s">
        <v>32</v>
      </c>
      <c r="E267">
        <f>SUM(E244:E250)</f>
        <v>20088970.5</v>
      </c>
      <c r="F267">
        <f t="shared" ref="F267:U267" si="49">SUM(F244:F250)</f>
        <v>20285277</v>
      </c>
      <c r="G267">
        <f t="shared" si="49"/>
        <v>20420389</v>
      </c>
      <c r="H267">
        <f t="shared" si="49"/>
        <v>20541611</v>
      </c>
      <c r="I267">
        <f t="shared" si="49"/>
        <v>20661509</v>
      </c>
      <c r="J267">
        <f t="shared" si="49"/>
        <v>20813613.5</v>
      </c>
      <c r="K267">
        <f t="shared" si="49"/>
        <v>20963622.5</v>
      </c>
      <c r="L267">
        <f t="shared" si="49"/>
        <v>21153988.5</v>
      </c>
      <c r="M267">
        <f t="shared" si="49"/>
        <v>21305046</v>
      </c>
      <c r="N267">
        <f t="shared" si="49"/>
        <v>21481860.5</v>
      </c>
      <c r="O267">
        <f t="shared" si="49"/>
        <v>21682052.5</v>
      </c>
      <c r="P267">
        <f t="shared" si="49"/>
        <v>21961235.5</v>
      </c>
      <c r="Q267">
        <f t="shared" si="49"/>
        <v>22182656.5</v>
      </c>
      <c r="R267">
        <f t="shared" si="49"/>
        <v>22402830</v>
      </c>
      <c r="S267">
        <f t="shared" si="49"/>
        <v>22541425</v>
      </c>
      <c r="T267">
        <f t="shared" si="49"/>
        <v>22812475</v>
      </c>
      <c r="U267">
        <f t="shared" si="49"/>
        <v>23093567.5</v>
      </c>
    </row>
    <row r="268" spans="2:21" x14ac:dyDescent="0.2">
      <c r="B268" s="3" t="s">
        <v>44</v>
      </c>
      <c r="E268">
        <f>SUM(E251:E257)</f>
        <v>3289660.5</v>
      </c>
      <c r="F268">
        <f t="shared" ref="F268:U268" si="50">SUM(F251:F257)</f>
        <v>3304532</v>
      </c>
      <c r="G268">
        <f t="shared" si="50"/>
        <v>3310426.5</v>
      </c>
      <c r="H268">
        <f t="shared" si="50"/>
        <v>3312629</v>
      </c>
      <c r="I268">
        <f t="shared" si="50"/>
        <v>3322280.5</v>
      </c>
      <c r="J268">
        <f t="shared" si="50"/>
        <v>3323539.5</v>
      </c>
      <c r="K268">
        <f t="shared" si="50"/>
        <v>3326298</v>
      </c>
      <c r="L268">
        <f t="shared" si="50"/>
        <v>3336545</v>
      </c>
      <c r="M268">
        <f t="shared" si="50"/>
        <v>3353089</v>
      </c>
      <c r="N268">
        <f t="shared" si="50"/>
        <v>3376878.5</v>
      </c>
      <c r="O268">
        <f t="shared" si="50"/>
        <v>3389472.5</v>
      </c>
      <c r="P268">
        <f t="shared" si="50"/>
        <v>3408411</v>
      </c>
      <c r="Q268">
        <f t="shared" si="50"/>
        <v>3419296.5</v>
      </c>
      <c r="R268">
        <f t="shared" si="50"/>
        <v>3435632</v>
      </c>
      <c r="S268">
        <f t="shared" si="50"/>
        <v>3450265.5</v>
      </c>
      <c r="T268">
        <f t="shared" si="50"/>
        <v>3469903</v>
      </c>
      <c r="U268">
        <f t="shared" si="50"/>
        <v>3477456.5</v>
      </c>
    </row>
    <row r="270" spans="2:21" x14ac:dyDescent="0.2">
      <c r="B270" t="s">
        <v>38</v>
      </c>
      <c r="E270" s="3" t="s">
        <v>2</v>
      </c>
      <c r="F270" s="3" t="s">
        <v>3</v>
      </c>
      <c r="G270" s="3" t="s">
        <v>4</v>
      </c>
      <c r="H270" s="3" t="s">
        <v>5</v>
      </c>
      <c r="I270" s="3" t="s">
        <v>6</v>
      </c>
      <c r="J270" s="3" t="s">
        <v>7</v>
      </c>
      <c r="K270" s="3" t="s">
        <v>8</v>
      </c>
      <c r="L270" s="3" t="s">
        <v>9</v>
      </c>
      <c r="M270" s="3" t="s">
        <v>10</v>
      </c>
      <c r="N270" s="3" t="s">
        <v>11</v>
      </c>
      <c r="O270" s="3" t="s">
        <v>12</v>
      </c>
      <c r="P270" s="3" t="s">
        <v>13</v>
      </c>
      <c r="Q270" s="3" t="s">
        <v>14</v>
      </c>
      <c r="R270" s="3" t="s">
        <v>15</v>
      </c>
      <c r="S270" s="3" t="s">
        <v>16</v>
      </c>
      <c r="T270" s="3" t="s">
        <v>17</v>
      </c>
      <c r="U270" s="3" t="s">
        <v>18</v>
      </c>
    </row>
    <row r="271" spans="2:21" x14ac:dyDescent="0.2">
      <c r="B271" s="6" t="s">
        <v>20</v>
      </c>
      <c r="E271">
        <f>E262</f>
        <v>325607862</v>
      </c>
      <c r="F271">
        <f t="shared" ref="F271:U271" si="51">F262</f>
        <v>328470739</v>
      </c>
      <c r="G271">
        <f t="shared" si="51"/>
        <v>330711233</v>
      </c>
      <c r="H271">
        <f t="shared" si="51"/>
        <v>332529069.5</v>
      </c>
      <c r="I271">
        <f t="shared" si="51"/>
        <v>334245674.5</v>
      </c>
      <c r="J271">
        <f t="shared" si="51"/>
        <v>336168956.5</v>
      </c>
      <c r="K271">
        <f t="shared" si="51"/>
        <v>338198281.5</v>
      </c>
      <c r="L271">
        <f t="shared" si="51"/>
        <v>340543051.5</v>
      </c>
      <c r="M271">
        <f t="shared" si="51"/>
        <v>343256668.5</v>
      </c>
      <c r="N271">
        <f t="shared" si="51"/>
        <v>346244910.5</v>
      </c>
      <c r="O271">
        <f t="shared" si="51"/>
        <v>349213898.5</v>
      </c>
      <c r="P271">
        <f t="shared" si="51"/>
        <v>352322223</v>
      </c>
      <c r="Q271">
        <f t="shared" si="51"/>
        <v>355230382</v>
      </c>
      <c r="R271">
        <f t="shared" si="51"/>
        <v>358101036.5</v>
      </c>
      <c r="S271">
        <f t="shared" si="51"/>
        <v>361448084.5</v>
      </c>
      <c r="T271">
        <f t="shared" si="51"/>
        <v>364544935.5</v>
      </c>
      <c r="U271">
        <f t="shared" si="51"/>
        <v>367865635</v>
      </c>
    </row>
    <row r="272" spans="2:21" x14ac:dyDescent="0.2">
      <c r="B272" t="s">
        <v>39</v>
      </c>
      <c r="E272">
        <f>E264+E267+E268+E263</f>
        <v>90938187.5</v>
      </c>
      <c r="F272">
        <f t="shared" ref="F272:U272" si="52">F264+F267+F268+F263</f>
        <v>91416550</v>
      </c>
      <c r="G272">
        <f t="shared" si="52"/>
        <v>91887882</v>
      </c>
      <c r="H272">
        <f t="shared" si="52"/>
        <v>92088224</v>
      </c>
      <c r="I272">
        <f t="shared" si="52"/>
        <v>92421527</v>
      </c>
      <c r="J272">
        <f t="shared" si="52"/>
        <v>92792955</v>
      </c>
      <c r="K272">
        <f t="shared" si="52"/>
        <v>93260089.5</v>
      </c>
      <c r="L272">
        <f t="shared" si="52"/>
        <v>93710531.5</v>
      </c>
      <c r="M272">
        <f t="shared" si="52"/>
        <v>94093519</v>
      </c>
      <c r="N272">
        <f t="shared" si="52"/>
        <v>94508532</v>
      </c>
      <c r="O272">
        <f t="shared" si="52"/>
        <v>94915256.5</v>
      </c>
      <c r="P272">
        <f t="shared" si="52"/>
        <v>95441486</v>
      </c>
      <c r="Q272">
        <f t="shared" si="52"/>
        <v>95866461.5</v>
      </c>
      <c r="R272">
        <f t="shared" si="52"/>
        <v>96334951.5</v>
      </c>
      <c r="S272">
        <f t="shared" si="52"/>
        <v>96748710</v>
      </c>
      <c r="T272">
        <f t="shared" si="52"/>
        <v>97195683.5</v>
      </c>
      <c r="U272">
        <f t="shared" si="52"/>
        <v>97787044.5</v>
      </c>
    </row>
    <row r="273" spans="2:21" x14ac:dyDescent="0.2">
      <c r="B273" t="s">
        <v>40</v>
      </c>
      <c r="E273">
        <f>E263+E265+E266</f>
        <v>34978925</v>
      </c>
      <c r="F273">
        <f t="shared" ref="F273:U273" si="53">F263+F265+F266</f>
        <v>35045487</v>
      </c>
      <c r="G273">
        <f t="shared" si="53"/>
        <v>35266840.5</v>
      </c>
      <c r="H273">
        <f t="shared" si="53"/>
        <v>35178983</v>
      </c>
      <c r="I273">
        <f t="shared" si="53"/>
        <v>35209481.5</v>
      </c>
      <c r="J273">
        <f t="shared" si="53"/>
        <v>35315426</v>
      </c>
      <c r="K273">
        <f t="shared" si="53"/>
        <v>35502665</v>
      </c>
      <c r="L273">
        <f t="shared" si="53"/>
        <v>35562043.5</v>
      </c>
      <c r="M273">
        <f t="shared" si="53"/>
        <v>35651370.5</v>
      </c>
      <c r="N273">
        <f t="shared" si="53"/>
        <v>35701842</v>
      </c>
      <c r="O273">
        <f t="shared" si="53"/>
        <v>35784161</v>
      </c>
      <c r="P273">
        <f t="shared" si="53"/>
        <v>35874109.5</v>
      </c>
      <c r="Q273">
        <f t="shared" si="53"/>
        <v>35961171</v>
      </c>
      <c r="R273">
        <f t="shared" si="53"/>
        <v>36063538.5</v>
      </c>
      <c r="S273">
        <f t="shared" si="53"/>
        <v>36143947</v>
      </c>
      <c r="T273">
        <f t="shared" si="53"/>
        <v>36201235.5</v>
      </c>
      <c r="U273">
        <f t="shared" si="53"/>
        <v>36325454</v>
      </c>
    </row>
    <row r="278" spans="2:21" x14ac:dyDescent="0.2">
      <c r="E278" t="s">
        <v>45</v>
      </c>
    </row>
    <row r="279" spans="2:21" x14ac:dyDescent="0.2">
      <c r="D279" t="s">
        <v>46</v>
      </c>
      <c r="E279">
        <f>G272/(SUM(G11:G24)+SUM(G39:G52)+SUM(G61:G74)+SUM(G89:G102)+SUM(G110:G123)+SUM(G138:G151)+SUM(G160:G173)+SUM(G188:G201))</f>
        <v>340.8354797548925</v>
      </c>
    </row>
    <row r="280" spans="2:21" x14ac:dyDescent="0.2">
      <c r="D280" t="s">
        <v>47</v>
      </c>
      <c r="E280">
        <f>(G271-G272)/(SUM(G4:G10)+SUM(G54:G60)+SUM(G103:G109)+SUM(G153:G159)-(SUM(G11:G24)+SUM(G39:G52)+SUM(G61:G74)+SUM(G89:G102)+SUM(G110:G123)+SUM(G138:G151)+SUM(G160:G173)+SUM(G188:G201)))</f>
        <v>213.6934309116516</v>
      </c>
    </row>
    <row r="282" spans="2:21" x14ac:dyDescent="0.2">
      <c r="E282">
        <f>E279/E280</f>
        <v>1.5949740630810776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BYGB1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Nelgy Skov Wohlert</cp:lastModifiedBy>
  <dcterms:created xsi:type="dcterms:W3CDTF">2026-03-23T17:51:34Z</dcterms:created>
  <dcterms:modified xsi:type="dcterms:W3CDTF">2026-04-07T06:53:30Z</dcterms:modified>
</cp:coreProperties>
</file>