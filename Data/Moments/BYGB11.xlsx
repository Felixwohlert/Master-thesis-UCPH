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Moments/"/>
    </mc:Choice>
  </mc:AlternateContent>
  <xr:revisionPtr revIDLastSave="0" documentId="13_ncr:1_{DDC85C86-7C7C-AC43-849A-595B5E9E3749}" xr6:coauthVersionLast="47" xr6:coauthVersionMax="47" xr10:uidLastSave="{00000000-0000-0000-0000-000000000000}"/>
  <bookViews>
    <workbookView xWindow="1720" yWindow="560" windowWidth="28800" windowHeight="16360" xr2:uid="{00000000-000D-0000-FFFF-FFFF00000000}"/>
  </bookViews>
  <sheets>
    <sheet name="BYG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3" i="2" l="1"/>
  <c r="E178" i="2"/>
  <c r="E177" i="2"/>
  <c r="F230" i="2"/>
  <c r="G230" i="2"/>
  <c r="H230" i="2"/>
  <c r="I230" i="2"/>
  <c r="J230" i="2"/>
  <c r="K230" i="2"/>
  <c r="L230" i="2"/>
  <c r="F231" i="2"/>
  <c r="G231" i="2"/>
  <c r="H231" i="2"/>
  <c r="I231" i="2"/>
  <c r="J231" i="2"/>
  <c r="K231" i="2"/>
  <c r="L231" i="2"/>
  <c r="F232" i="2"/>
  <c r="G232" i="2"/>
  <c r="H232" i="2"/>
  <c r="I232" i="2"/>
  <c r="J232" i="2"/>
  <c r="K232" i="2"/>
  <c r="L232" i="2"/>
  <c r="E232" i="2"/>
  <c r="E231" i="2"/>
  <c r="E230" i="2"/>
  <c r="L225" i="2"/>
  <c r="F221" i="2"/>
  <c r="G221" i="2"/>
  <c r="H221" i="2"/>
  <c r="I221" i="2"/>
  <c r="J221" i="2"/>
  <c r="K221" i="2"/>
  <c r="L221" i="2"/>
  <c r="F222" i="2"/>
  <c r="G222" i="2"/>
  <c r="H222" i="2"/>
  <c r="I222" i="2"/>
  <c r="J222" i="2"/>
  <c r="K222" i="2"/>
  <c r="L222" i="2"/>
  <c r="F223" i="2"/>
  <c r="G223" i="2"/>
  <c r="H223" i="2"/>
  <c r="I223" i="2"/>
  <c r="J223" i="2"/>
  <c r="K223" i="2"/>
  <c r="L223" i="2"/>
  <c r="F224" i="2"/>
  <c r="G224" i="2"/>
  <c r="H224" i="2"/>
  <c r="I224" i="2"/>
  <c r="J224" i="2"/>
  <c r="K224" i="2"/>
  <c r="L224" i="2"/>
  <c r="F225" i="2"/>
  <c r="G225" i="2"/>
  <c r="H225" i="2"/>
  <c r="I225" i="2"/>
  <c r="J225" i="2"/>
  <c r="K225" i="2"/>
  <c r="F226" i="2"/>
  <c r="G226" i="2"/>
  <c r="H226" i="2"/>
  <c r="I226" i="2"/>
  <c r="J226" i="2"/>
  <c r="K226" i="2"/>
  <c r="L226" i="2"/>
  <c r="E224" i="2"/>
  <c r="E223" i="2"/>
  <c r="E222" i="2"/>
  <c r="E221" i="2"/>
  <c r="F177" i="2"/>
  <c r="G177" i="2"/>
  <c r="H177" i="2"/>
  <c r="I177" i="2"/>
  <c r="J177" i="2"/>
  <c r="K177" i="2"/>
  <c r="L177" i="2"/>
  <c r="F178" i="2"/>
  <c r="G178" i="2"/>
  <c r="H178" i="2"/>
  <c r="I178" i="2"/>
  <c r="J178" i="2"/>
  <c r="K178" i="2"/>
  <c r="L178" i="2"/>
  <c r="F179" i="2"/>
  <c r="G179" i="2"/>
  <c r="H179" i="2"/>
  <c r="I179" i="2"/>
  <c r="J179" i="2"/>
  <c r="K179" i="2"/>
  <c r="L179" i="2"/>
  <c r="F180" i="2"/>
  <c r="G180" i="2"/>
  <c r="H180" i="2"/>
  <c r="I180" i="2"/>
  <c r="J180" i="2"/>
  <c r="K180" i="2"/>
  <c r="L180" i="2"/>
  <c r="F181" i="2"/>
  <c r="G181" i="2"/>
  <c r="H181" i="2"/>
  <c r="I181" i="2"/>
  <c r="J181" i="2"/>
  <c r="K181" i="2"/>
  <c r="L181" i="2"/>
  <c r="F182" i="2"/>
  <c r="G182" i="2"/>
  <c r="H182" i="2"/>
  <c r="I182" i="2"/>
  <c r="J182" i="2"/>
  <c r="K182" i="2"/>
  <c r="L182" i="2"/>
  <c r="F183" i="2"/>
  <c r="G183" i="2"/>
  <c r="H183" i="2"/>
  <c r="I183" i="2"/>
  <c r="J183" i="2"/>
  <c r="K183" i="2"/>
  <c r="L183" i="2"/>
  <c r="F184" i="2"/>
  <c r="G184" i="2"/>
  <c r="H184" i="2"/>
  <c r="I184" i="2"/>
  <c r="J184" i="2"/>
  <c r="K184" i="2"/>
  <c r="L184" i="2"/>
  <c r="F185" i="2"/>
  <c r="G185" i="2"/>
  <c r="H185" i="2"/>
  <c r="I185" i="2"/>
  <c r="J185" i="2"/>
  <c r="K185" i="2"/>
  <c r="L185" i="2"/>
  <c r="F186" i="2"/>
  <c r="G186" i="2"/>
  <c r="H186" i="2"/>
  <c r="I186" i="2"/>
  <c r="J186" i="2"/>
  <c r="K186" i="2"/>
  <c r="L186" i="2"/>
  <c r="F187" i="2"/>
  <c r="G187" i="2"/>
  <c r="H187" i="2"/>
  <c r="I187" i="2"/>
  <c r="J187" i="2"/>
  <c r="K187" i="2"/>
  <c r="L187" i="2"/>
  <c r="F188" i="2"/>
  <c r="G188" i="2"/>
  <c r="H188" i="2"/>
  <c r="I188" i="2"/>
  <c r="J188" i="2"/>
  <c r="K188" i="2"/>
  <c r="L188" i="2"/>
  <c r="F189" i="2"/>
  <c r="G189" i="2"/>
  <c r="H189" i="2"/>
  <c r="I189" i="2"/>
  <c r="J189" i="2"/>
  <c r="K189" i="2"/>
  <c r="L189" i="2"/>
  <c r="F190" i="2"/>
  <c r="G190" i="2"/>
  <c r="H190" i="2"/>
  <c r="I190" i="2"/>
  <c r="J190" i="2"/>
  <c r="K190" i="2"/>
  <c r="L190" i="2"/>
  <c r="F191" i="2"/>
  <c r="G191" i="2"/>
  <c r="H191" i="2"/>
  <c r="I191" i="2"/>
  <c r="J191" i="2"/>
  <c r="K191" i="2"/>
  <c r="L191" i="2"/>
  <c r="F192" i="2"/>
  <c r="G192" i="2"/>
  <c r="H192" i="2"/>
  <c r="I192" i="2"/>
  <c r="J192" i="2"/>
  <c r="K192" i="2"/>
  <c r="L192" i="2"/>
  <c r="F193" i="2"/>
  <c r="G193" i="2"/>
  <c r="H193" i="2"/>
  <c r="I193" i="2"/>
  <c r="J193" i="2"/>
  <c r="K193" i="2"/>
  <c r="L193" i="2"/>
  <c r="F194" i="2"/>
  <c r="G194" i="2"/>
  <c r="H194" i="2"/>
  <c r="I194" i="2"/>
  <c r="J194" i="2"/>
  <c r="K194" i="2"/>
  <c r="L194" i="2"/>
  <c r="F195" i="2"/>
  <c r="G195" i="2"/>
  <c r="H195" i="2"/>
  <c r="I195" i="2"/>
  <c r="J195" i="2"/>
  <c r="K195" i="2"/>
  <c r="L195" i="2"/>
  <c r="F196" i="2"/>
  <c r="G196" i="2"/>
  <c r="H196" i="2"/>
  <c r="I196" i="2"/>
  <c r="J196" i="2"/>
  <c r="K196" i="2"/>
  <c r="L196" i="2"/>
  <c r="F197" i="2"/>
  <c r="G197" i="2"/>
  <c r="H197" i="2"/>
  <c r="I197" i="2"/>
  <c r="J197" i="2"/>
  <c r="K197" i="2"/>
  <c r="L197" i="2"/>
  <c r="F198" i="2"/>
  <c r="G198" i="2"/>
  <c r="H198" i="2"/>
  <c r="I198" i="2"/>
  <c r="J198" i="2"/>
  <c r="K198" i="2"/>
  <c r="L198" i="2"/>
  <c r="F199" i="2"/>
  <c r="G199" i="2"/>
  <c r="H199" i="2"/>
  <c r="I199" i="2"/>
  <c r="J199" i="2"/>
  <c r="K199" i="2"/>
  <c r="L199" i="2"/>
  <c r="F200" i="2"/>
  <c r="G200" i="2"/>
  <c r="H200" i="2"/>
  <c r="I200" i="2"/>
  <c r="J200" i="2"/>
  <c r="K200" i="2"/>
  <c r="L200" i="2"/>
  <c r="F201" i="2"/>
  <c r="G201" i="2"/>
  <c r="H201" i="2"/>
  <c r="I201" i="2"/>
  <c r="J201" i="2"/>
  <c r="K201" i="2"/>
  <c r="L201" i="2"/>
  <c r="F202" i="2"/>
  <c r="G202" i="2"/>
  <c r="H202" i="2"/>
  <c r="I202" i="2"/>
  <c r="J202" i="2"/>
  <c r="K202" i="2"/>
  <c r="L202" i="2"/>
  <c r="F203" i="2"/>
  <c r="G203" i="2"/>
  <c r="H203" i="2"/>
  <c r="I203" i="2"/>
  <c r="J203" i="2"/>
  <c r="K203" i="2"/>
  <c r="L203" i="2"/>
  <c r="F204" i="2"/>
  <c r="G204" i="2"/>
  <c r="H204" i="2"/>
  <c r="I204" i="2"/>
  <c r="J204" i="2"/>
  <c r="K204" i="2"/>
  <c r="L204" i="2"/>
  <c r="F205" i="2"/>
  <c r="G205" i="2"/>
  <c r="H205" i="2"/>
  <c r="I205" i="2"/>
  <c r="J205" i="2"/>
  <c r="K205" i="2"/>
  <c r="L205" i="2"/>
  <c r="F206" i="2"/>
  <c r="G206" i="2"/>
  <c r="H206" i="2"/>
  <c r="I206" i="2"/>
  <c r="J206" i="2"/>
  <c r="K206" i="2"/>
  <c r="L206" i="2"/>
  <c r="F207" i="2"/>
  <c r="G207" i="2"/>
  <c r="H207" i="2"/>
  <c r="I207" i="2"/>
  <c r="J207" i="2"/>
  <c r="K207" i="2"/>
  <c r="L207" i="2"/>
  <c r="F208" i="2"/>
  <c r="G208" i="2"/>
  <c r="H208" i="2"/>
  <c r="I208" i="2"/>
  <c r="J208" i="2"/>
  <c r="K208" i="2"/>
  <c r="L208" i="2"/>
  <c r="F209" i="2"/>
  <c r="G209" i="2"/>
  <c r="H209" i="2"/>
  <c r="I209" i="2"/>
  <c r="J209" i="2"/>
  <c r="K209" i="2"/>
  <c r="L209" i="2"/>
  <c r="F210" i="2"/>
  <c r="G210" i="2"/>
  <c r="H210" i="2"/>
  <c r="I210" i="2"/>
  <c r="J210" i="2"/>
  <c r="K210" i="2"/>
  <c r="L210" i="2"/>
  <c r="F211" i="2"/>
  <c r="G211" i="2"/>
  <c r="H211" i="2"/>
  <c r="I211" i="2"/>
  <c r="J211" i="2"/>
  <c r="K211" i="2"/>
  <c r="L211" i="2"/>
  <c r="F212" i="2"/>
  <c r="G212" i="2"/>
  <c r="H212" i="2"/>
  <c r="I212" i="2"/>
  <c r="J212" i="2"/>
  <c r="K212" i="2"/>
  <c r="L212" i="2"/>
  <c r="F213" i="2"/>
  <c r="G213" i="2"/>
  <c r="H213" i="2"/>
  <c r="I213" i="2"/>
  <c r="J213" i="2"/>
  <c r="K213" i="2"/>
  <c r="L213" i="2"/>
  <c r="F214" i="2"/>
  <c r="G214" i="2"/>
  <c r="H214" i="2"/>
  <c r="I214" i="2"/>
  <c r="J214" i="2"/>
  <c r="K214" i="2"/>
  <c r="L214" i="2"/>
  <c r="F215" i="2"/>
  <c r="G215" i="2"/>
  <c r="H215" i="2"/>
  <c r="I215" i="2"/>
  <c r="J215" i="2"/>
  <c r="K215" i="2"/>
  <c r="L215" i="2"/>
  <c r="F216" i="2"/>
  <c r="G216" i="2"/>
  <c r="H216" i="2"/>
  <c r="I216" i="2"/>
  <c r="J216" i="2"/>
  <c r="K216" i="2"/>
  <c r="L216" i="2"/>
  <c r="F217" i="2"/>
  <c r="G217" i="2"/>
  <c r="H217" i="2"/>
  <c r="I217" i="2"/>
  <c r="J217" i="2"/>
  <c r="K217" i="2"/>
  <c r="L217" i="2"/>
  <c r="F218" i="2"/>
  <c r="G218" i="2"/>
  <c r="H218" i="2"/>
  <c r="I218" i="2"/>
  <c r="J218" i="2"/>
  <c r="K218" i="2"/>
  <c r="L21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4" i="2"/>
  <c r="E215" i="2"/>
  <c r="E216" i="2"/>
  <c r="E217" i="2"/>
  <c r="E218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4" i="2"/>
  <c r="D5" i="2"/>
  <c r="E226" i="2" l="1"/>
  <c r="E225" i="2"/>
</calcChain>
</file>

<file path=xl/sharedStrings.xml><?xml version="1.0" encoding="utf-8"?>
<sst xmlns="http://schemas.openxmlformats.org/spreadsheetml/2006/main" count="291" uniqueCount="32">
  <si>
    <t>Bygninger efter anvendelse, område, areal i kvadratmeter (m2) og tid</t>
  </si>
  <si>
    <t>Enhed: Antal</t>
  </si>
  <si>
    <t>Parcel- og stuehuse</t>
  </si>
  <si>
    <t>Hele landet</t>
  </si>
  <si>
    <t>-99 m2</t>
  </si>
  <si>
    <t>100-199 m2</t>
  </si>
  <si>
    <t>200-499 m2</t>
  </si>
  <si>
    <t>500-999 m2</t>
  </si>
  <si>
    <t>1000-1999 m2</t>
  </si>
  <si>
    <t>2000-4999 m2</t>
  </si>
  <si>
    <t>5000- m2</t>
  </si>
  <si>
    <t>Dragør</t>
  </si>
  <si>
    <t>Tårnby</t>
  </si>
  <si>
    <t>Række-, kæde- og dobbelthuse</t>
  </si>
  <si>
    <t>Etageboliger</t>
  </si>
  <si>
    <t>Anden helårsbeboelse</t>
  </si>
  <si>
    <t xml:space="preserve">Areal angiver bygningens samlede areal - dvs bygningens etageareal, tagetageareal og kælderareal </t>
  </si>
  <si>
    <t>Beregning: samlede kvadratmeter</t>
  </si>
  <si>
    <t>Total, approx:</t>
  </si>
  <si>
    <t>Region Hovedstaden</t>
  </si>
  <si>
    <t>Landsdelen København By</t>
  </si>
  <si>
    <t>2007</t>
  </si>
  <si>
    <t>2008</t>
  </si>
  <si>
    <t>2009</t>
  </si>
  <si>
    <t>2010</t>
  </si>
  <si>
    <t>2011</t>
  </si>
  <si>
    <t>2012</t>
  </si>
  <si>
    <t>2013</t>
  </si>
  <si>
    <t>2014</t>
  </si>
  <si>
    <t>København</t>
  </si>
  <si>
    <t>Frederiksberg</t>
  </si>
  <si>
    <t>Region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</si>
</sst>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2"/>
  <sheetViews>
    <sheetView tabSelected="1" topLeftCell="A13" workbookViewId="0">
      <selection activeCell="O26" sqref="O26"/>
    </sheetView>
  </sheetViews>
  <sheetFormatPr baseColWidth="10" defaultColWidth="8.83203125" defaultRowHeight="15" x14ac:dyDescent="0.2"/>
  <cols>
    <col min="1" max="1" width="40.6640625" customWidth="1"/>
    <col min="2" max="2" width="28.33203125" customWidth="1"/>
    <col min="3" max="4" width="14.83203125" customWidth="1"/>
    <col min="5" max="21" width="9" customWidth="1"/>
  </cols>
  <sheetData>
    <row r="1" spans="1:21" ht="17" x14ac:dyDescent="0.2">
      <c r="A1" s="1" t="s">
        <v>0</v>
      </c>
    </row>
    <row r="2" spans="1:21" x14ac:dyDescent="0.2">
      <c r="A2" s="2" t="s">
        <v>1</v>
      </c>
    </row>
    <row r="3" spans="1:21" x14ac:dyDescent="0.2"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s="3" t="s">
        <v>2</v>
      </c>
      <c r="B4" s="3" t="s">
        <v>3</v>
      </c>
      <c r="C4" s="3" t="s">
        <v>4</v>
      </c>
      <c r="D4" s="3">
        <f>(99+0)/2</f>
        <v>49.5</v>
      </c>
      <c r="E4" s="4">
        <v>83690</v>
      </c>
      <c r="F4" s="4">
        <v>81834</v>
      </c>
      <c r="G4" s="4">
        <v>79975</v>
      </c>
      <c r="H4" s="4">
        <v>77316</v>
      </c>
      <c r="I4" s="4">
        <v>75940</v>
      </c>
      <c r="J4" s="4">
        <v>73580</v>
      </c>
      <c r="K4" s="4">
        <v>72299</v>
      </c>
      <c r="L4" s="4">
        <v>71123</v>
      </c>
      <c r="M4" s="4"/>
      <c r="N4" s="4"/>
      <c r="O4" s="4"/>
      <c r="P4" s="4"/>
      <c r="Q4" s="4"/>
      <c r="R4" s="4"/>
      <c r="S4" s="4"/>
      <c r="T4" s="4"/>
      <c r="U4" s="4"/>
    </row>
    <row r="5" spans="1:21" x14ac:dyDescent="0.2">
      <c r="C5" s="3" t="s">
        <v>5</v>
      </c>
      <c r="D5" s="3">
        <f>(199+100)/2</f>
        <v>149.5</v>
      </c>
      <c r="E5" s="4">
        <v>783499</v>
      </c>
      <c r="F5" s="4">
        <v>785686</v>
      </c>
      <c r="G5" s="4">
        <v>787082</v>
      </c>
      <c r="H5" s="4">
        <v>786912</v>
      </c>
      <c r="I5" s="4">
        <v>785656</v>
      </c>
      <c r="J5" s="4">
        <v>781824</v>
      </c>
      <c r="K5" s="4">
        <v>780494</v>
      </c>
      <c r="L5" s="4">
        <v>779073</v>
      </c>
      <c r="M5" s="4"/>
      <c r="N5" s="4"/>
      <c r="O5" s="4"/>
      <c r="P5" s="4"/>
      <c r="Q5" s="4"/>
      <c r="R5" s="4"/>
      <c r="S5" s="4"/>
      <c r="T5" s="4"/>
      <c r="U5" s="4"/>
    </row>
    <row r="6" spans="1:21" x14ac:dyDescent="0.2">
      <c r="C6" s="3" t="s">
        <v>6</v>
      </c>
      <c r="D6" s="3">
        <f>(200+499)/2</f>
        <v>349.5</v>
      </c>
      <c r="E6" s="4">
        <v>310453</v>
      </c>
      <c r="F6" s="4">
        <v>317427</v>
      </c>
      <c r="G6" s="4">
        <v>325395</v>
      </c>
      <c r="H6" s="4">
        <v>332189</v>
      </c>
      <c r="I6" s="4">
        <v>338000</v>
      </c>
      <c r="J6" s="4">
        <v>346762</v>
      </c>
      <c r="K6" s="4">
        <v>351595</v>
      </c>
      <c r="L6" s="4">
        <v>356120</v>
      </c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C7" s="3" t="s">
        <v>7</v>
      </c>
      <c r="D7" s="3">
        <f>(500+999)/2</f>
        <v>749.5</v>
      </c>
      <c r="E7" s="4">
        <v>4305</v>
      </c>
      <c r="F7" s="4">
        <v>4354</v>
      </c>
      <c r="G7" s="4">
        <v>4427</v>
      </c>
      <c r="H7" s="4">
        <v>4490</v>
      </c>
      <c r="I7" s="4">
        <v>4583</v>
      </c>
      <c r="J7" s="4">
        <v>5115</v>
      </c>
      <c r="K7" s="4">
        <v>5368</v>
      </c>
      <c r="L7" s="4">
        <v>5568</v>
      </c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C8" s="3" t="s">
        <v>8</v>
      </c>
      <c r="D8" s="3">
        <f>(1000+1999)/2</f>
        <v>1499.5</v>
      </c>
      <c r="E8" s="4">
        <v>268</v>
      </c>
      <c r="F8" s="4">
        <v>273</v>
      </c>
      <c r="G8" s="4">
        <v>265</v>
      </c>
      <c r="H8" s="4">
        <v>265</v>
      </c>
      <c r="I8" s="4">
        <v>271</v>
      </c>
      <c r="J8" s="4">
        <v>277</v>
      </c>
      <c r="K8" s="4">
        <v>293</v>
      </c>
      <c r="L8" s="4">
        <v>295</v>
      </c>
      <c r="M8" s="4"/>
      <c r="N8" s="4"/>
      <c r="O8" s="4"/>
      <c r="P8" s="4"/>
      <c r="Q8" s="4"/>
      <c r="R8" s="4"/>
      <c r="S8" s="4"/>
      <c r="T8" s="4"/>
      <c r="U8" s="4"/>
    </row>
    <row r="9" spans="1:21" x14ac:dyDescent="0.2">
      <c r="C9" s="3" t="s">
        <v>9</v>
      </c>
      <c r="D9" s="3">
        <f>(2000+4999)/2</f>
        <v>3499.5</v>
      </c>
      <c r="E9" s="4">
        <v>41</v>
      </c>
      <c r="F9" s="4">
        <v>41</v>
      </c>
      <c r="G9" s="4">
        <v>40</v>
      </c>
      <c r="H9" s="4">
        <v>39</v>
      </c>
      <c r="I9" s="4">
        <v>39</v>
      </c>
      <c r="J9" s="4">
        <v>41</v>
      </c>
      <c r="K9" s="4">
        <v>42</v>
      </c>
      <c r="L9" s="4">
        <v>42</v>
      </c>
      <c r="M9" s="4"/>
      <c r="N9" s="4"/>
      <c r="O9" s="4"/>
      <c r="P9" s="4"/>
      <c r="Q9" s="4"/>
      <c r="R9" s="4"/>
      <c r="S9" s="4"/>
      <c r="T9" s="4"/>
      <c r="U9" s="4"/>
    </row>
    <row r="10" spans="1:21" x14ac:dyDescent="0.2">
      <c r="C10" s="3" t="s">
        <v>10</v>
      </c>
      <c r="D10" s="3">
        <f>5000</f>
        <v>5000</v>
      </c>
      <c r="E10" s="4">
        <v>2</v>
      </c>
      <c r="F10" s="4">
        <v>2</v>
      </c>
      <c r="G10" s="4">
        <v>2</v>
      </c>
      <c r="H10" s="4">
        <v>2</v>
      </c>
      <c r="I10" s="4">
        <v>2</v>
      </c>
      <c r="J10" s="4">
        <v>4</v>
      </c>
      <c r="K10" s="4">
        <v>3</v>
      </c>
      <c r="L10" s="4">
        <v>3</v>
      </c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">
      <c r="B11" s="3" t="s">
        <v>19</v>
      </c>
      <c r="C11" s="3" t="s">
        <v>4</v>
      </c>
      <c r="D11" s="3">
        <f>(99+0)/2</f>
        <v>49.5</v>
      </c>
      <c r="E11" s="4">
        <v>12949</v>
      </c>
      <c r="F11" s="4">
        <v>12658</v>
      </c>
      <c r="G11" s="4">
        <v>12290</v>
      </c>
      <c r="H11" s="4">
        <v>11787</v>
      </c>
      <c r="I11" s="4">
        <v>11542</v>
      </c>
      <c r="J11" s="4">
        <v>11062</v>
      </c>
      <c r="K11" s="4">
        <v>10814</v>
      </c>
      <c r="L11" s="4">
        <v>10537</v>
      </c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">
      <c r="C12" s="3" t="s">
        <v>5</v>
      </c>
      <c r="D12" s="3">
        <f>(199+100)/2</f>
        <v>149.5</v>
      </c>
      <c r="E12" s="4">
        <v>123950</v>
      </c>
      <c r="F12" s="4">
        <v>124047</v>
      </c>
      <c r="G12" s="4">
        <v>124048</v>
      </c>
      <c r="H12" s="4">
        <v>123978</v>
      </c>
      <c r="I12" s="4">
        <v>123691</v>
      </c>
      <c r="J12" s="4">
        <v>122922</v>
      </c>
      <c r="K12" s="4">
        <v>122672</v>
      </c>
      <c r="L12" s="4">
        <v>122404</v>
      </c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">
      <c r="C13" s="3" t="s">
        <v>6</v>
      </c>
      <c r="D13" s="3">
        <f>(200+499)/2</f>
        <v>349.5</v>
      </c>
      <c r="E13" s="4">
        <v>53162</v>
      </c>
      <c r="F13" s="4">
        <v>53961</v>
      </c>
      <c r="G13" s="4">
        <v>54619</v>
      </c>
      <c r="H13" s="4">
        <v>55427</v>
      </c>
      <c r="I13" s="4">
        <v>56149</v>
      </c>
      <c r="J13" s="4">
        <v>57636</v>
      </c>
      <c r="K13" s="4">
        <v>58410</v>
      </c>
      <c r="L13" s="4">
        <v>59153</v>
      </c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2">
      <c r="C14" s="3" t="s">
        <v>7</v>
      </c>
      <c r="D14" s="3">
        <f>(500+999)/2</f>
        <v>749.5</v>
      </c>
      <c r="E14" s="4">
        <v>830</v>
      </c>
      <c r="F14" s="4">
        <v>833</v>
      </c>
      <c r="G14" s="4">
        <v>849</v>
      </c>
      <c r="H14" s="4">
        <v>855</v>
      </c>
      <c r="I14" s="4">
        <v>874</v>
      </c>
      <c r="J14" s="4">
        <v>936</v>
      </c>
      <c r="K14" s="4">
        <v>979</v>
      </c>
      <c r="L14" s="4">
        <v>1004</v>
      </c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">
      <c r="C15" s="3" t="s">
        <v>8</v>
      </c>
      <c r="D15" s="3">
        <f>(1000+1999)/2</f>
        <v>1499.5</v>
      </c>
      <c r="E15" s="4">
        <v>29</v>
      </c>
      <c r="F15" s="4">
        <v>29</v>
      </c>
      <c r="G15" s="4">
        <v>28</v>
      </c>
      <c r="H15" s="4">
        <v>28</v>
      </c>
      <c r="I15" s="4">
        <v>28</v>
      </c>
      <c r="J15" s="4">
        <v>31</v>
      </c>
      <c r="K15" s="4">
        <v>34</v>
      </c>
      <c r="L15" s="4">
        <v>36</v>
      </c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">
      <c r="C16" s="3" t="s">
        <v>9</v>
      </c>
      <c r="D16" s="3">
        <f>(2000+4999)/2</f>
        <v>3499.5</v>
      </c>
      <c r="E16" s="4">
        <v>3</v>
      </c>
      <c r="F16" s="4">
        <v>3</v>
      </c>
      <c r="G16" s="4">
        <v>2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/>
      <c r="N16" s="4"/>
      <c r="O16" s="4"/>
      <c r="P16" s="4"/>
      <c r="Q16" s="4"/>
      <c r="R16" s="4"/>
      <c r="S16" s="4"/>
      <c r="T16" s="4"/>
      <c r="U16" s="4"/>
    </row>
    <row r="17" spans="2:21" x14ac:dyDescent="0.2">
      <c r="C17" s="3" t="s">
        <v>10</v>
      </c>
      <c r="D17" s="3">
        <f>5000</f>
        <v>5000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/>
      <c r="N17" s="4"/>
      <c r="O17" s="4"/>
      <c r="P17" s="4"/>
      <c r="Q17" s="4"/>
      <c r="R17" s="4"/>
      <c r="S17" s="4"/>
      <c r="T17" s="4"/>
      <c r="U17" s="4"/>
    </row>
    <row r="18" spans="2:21" x14ac:dyDescent="0.2">
      <c r="B18" s="3" t="s">
        <v>29</v>
      </c>
      <c r="C18" s="3" t="s">
        <v>4</v>
      </c>
      <c r="D18" s="3">
        <f>(99+0)/2</f>
        <v>49.5</v>
      </c>
      <c r="E18" s="4">
        <v>1924</v>
      </c>
      <c r="F18" s="4">
        <v>1900</v>
      </c>
      <c r="G18" s="4">
        <v>1870</v>
      </c>
      <c r="H18" s="4">
        <v>1808</v>
      </c>
      <c r="I18" s="4">
        <v>1778</v>
      </c>
      <c r="J18" s="4">
        <v>1708</v>
      </c>
      <c r="K18" s="4">
        <v>1678</v>
      </c>
      <c r="L18" s="4">
        <v>1649</v>
      </c>
      <c r="M18" s="4"/>
      <c r="N18" s="4"/>
      <c r="O18" s="4"/>
      <c r="P18" s="4"/>
      <c r="Q18" s="4"/>
      <c r="R18" s="4"/>
      <c r="S18" s="4"/>
      <c r="T18" s="4"/>
      <c r="U18" s="4"/>
    </row>
    <row r="19" spans="2:21" x14ac:dyDescent="0.2">
      <c r="C19" s="3" t="s">
        <v>5</v>
      </c>
      <c r="D19" s="3">
        <f>(199+100)/2</f>
        <v>149.5</v>
      </c>
      <c r="E19" s="4">
        <v>7524</v>
      </c>
      <c r="F19" s="4">
        <v>7494</v>
      </c>
      <c r="G19" s="4">
        <v>7509</v>
      </c>
      <c r="H19" s="4">
        <v>7541</v>
      </c>
      <c r="I19" s="4">
        <v>7538</v>
      </c>
      <c r="J19" s="4">
        <v>7489</v>
      </c>
      <c r="K19" s="4">
        <v>7495</v>
      </c>
      <c r="L19" s="4">
        <v>7491</v>
      </c>
      <c r="M19" s="4"/>
      <c r="N19" s="4"/>
      <c r="O19" s="4"/>
      <c r="P19" s="4"/>
      <c r="Q19" s="4"/>
      <c r="R19" s="4"/>
      <c r="S19" s="4"/>
      <c r="T19" s="4"/>
      <c r="U19" s="4"/>
    </row>
    <row r="20" spans="2:21" x14ac:dyDescent="0.2">
      <c r="C20" s="3" t="s">
        <v>6</v>
      </c>
      <c r="D20" s="3">
        <f>(200+499)/2</f>
        <v>349.5</v>
      </c>
      <c r="E20" s="4">
        <v>5219</v>
      </c>
      <c r="F20" s="4">
        <v>5280</v>
      </c>
      <c r="G20" s="4">
        <v>5311</v>
      </c>
      <c r="H20" s="4">
        <v>5357</v>
      </c>
      <c r="I20" s="4">
        <v>5410</v>
      </c>
      <c r="J20" s="4">
        <v>5550</v>
      </c>
      <c r="K20" s="4">
        <v>5613</v>
      </c>
      <c r="L20" s="4">
        <v>5654</v>
      </c>
      <c r="M20" s="4"/>
      <c r="N20" s="4"/>
      <c r="O20" s="4"/>
      <c r="P20" s="4"/>
      <c r="Q20" s="4"/>
      <c r="R20" s="4"/>
      <c r="S20" s="4"/>
      <c r="T20" s="4"/>
      <c r="U20" s="4"/>
    </row>
    <row r="21" spans="2:21" x14ac:dyDescent="0.2">
      <c r="C21" s="3" t="s">
        <v>7</v>
      </c>
      <c r="D21" s="3">
        <f>(500+999)/2</f>
        <v>749.5</v>
      </c>
      <c r="E21" s="4">
        <v>64</v>
      </c>
      <c r="F21" s="4">
        <v>64</v>
      </c>
      <c r="G21" s="4">
        <v>63</v>
      </c>
      <c r="H21" s="4">
        <v>63</v>
      </c>
      <c r="I21" s="4">
        <v>62</v>
      </c>
      <c r="J21" s="4">
        <v>65</v>
      </c>
      <c r="K21" s="4">
        <v>67</v>
      </c>
      <c r="L21" s="4">
        <v>68</v>
      </c>
      <c r="M21" s="4"/>
      <c r="N21" s="4"/>
      <c r="O21" s="4"/>
      <c r="P21" s="4"/>
      <c r="Q21" s="4"/>
      <c r="R21" s="4"/>
      <c r="S21" s="4"/>
      <c r="T21" s="4"/>
      <c r="U21" s="4"/>
    </row>
    <row r="22" spans="2:21" x14ac:dyDescent="0.2">
      <c r="C22" s="3" t="s">
        <v>8</v>
      </c>
      <c r="D22" s="3">
        <f>(1000+1999)/2</f>
        <v>1499.5</v>
      </c>
      <c r="E22" s="4">
        <v>3</v>
      </c>
      <c r="F22" s="4">
        <v>3</v>
      </c>
      <c r="G22" s="4">
        <v>3</v>
      </c>
      <c r="H22" s="4">
        <v>3</v>
      </c>
      <c r="I22" s="4">
        <v>3</v>
      </c>
      <c r="J22" s="4">
        <v>3</v>
      </c>
      <c r="K22" s="4">
        <v>3</v>
      </c>
      <c r="L22" s="4">
        <v>3</v>
      </c>
      <c r="M22" s="4"/>
      <c r="N22" s="4"/>
      <c r="O22" s="4"/>
      <c r="P22" s="4"/>
      <c r="Q22" s="4"/>
      <c r="R22" s="4"/>
      <c r="S22" s="4"/>
      <c r="T22" s="4"/>
      <c r="U22" s="4"/>
    </row>
    <row r="23" spans="2:21" x14ac:dyDescent="0.2">
      <c r="C23" s="3" t="s">
        <v>9</v>
      </c>
      <c r="D23" s="3">
        <f>(2000+4999)/2</f>
        <v>3499.5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/>
      <c r="N23" s="4"/>
      <c r="O23" s="4"/>
      <c r="P23" s="4"/>
      <c r="Q23" s="4"/>
      <c r="R23" s="4"/>
      <c r="S23" s="4"/>
      <c r="T23" s="4"/>
      <c r="U23" s="4"/>
    </row>
    <row r="24" spans="2:21" x14ac:dyDescent="0.2">
      <c r="C24" s="3" t="s">
        <v>10</v>
      </c>
      <c r="D24" s="3">
        <f>5000</f>
        <v>5000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/>
      <c r="N24" s="4"/>
      <c r="O24" s="4"/>
      <c r="P24" s="4"/>
      <c r="Q24" s="4"/>
      <c r="R24" s="4"/>
      <c r="S24" s="4"/>
      <c r="T24" s="4"/>
      <c r="U24" s="4"/>
    </row>
    <row r="25" spans="2:21" x14ac:dyDescent="0.2">
      <c r="B25" s="3" t="s">
        <v>30</v>
      </c>
      <c r="C25" s="3" t="s">
        <v>4</v>
      </c>
      <c r="D25" s="3">
        <f>(99+0)/2</f>
        <v>49.5</v>
      </c>
      <c r="E25" s="4">
        <v>7</v>
      </c>
      <c r="F25" s="4">
        <v>7</v>
      </c>
      <c r="G25" s="4">
        <v>7</v>
      </c>
      <c r="H25" s="4">
        <v>6</v>
      </c>
      <c r="I25" s="4">
        <v>6</v>
      </c>
      <c r="J25" s="4">
        <v>6</v>
      </c>
      <c r="K25" s="4">
        <v>6</v>
      </c>
      <c r="L25" s="4">
        <v>6</v>
      </c>
      <c r="M25" s="4"/>
      <c r="N25" s="4"/>
      <c r="O25" s="4"/>
      <c r="P25" s="4"/>
      <c r="Q25" s="4"/>
      <c r="R25" s="4"/>
      <c r="S25" s="4"/>
      <c r="T25" s="4"/>
      <c r="U25" s="4"/>
    </row>
    <row r="26" spans="2:21" x14ac:dyDescent="0.2">
      <c r="C26" s="3" t="s">
        <v>5</v>
      </c>
      <c r="D26" s="3">
        <f>(199+100)/2</f>
        <v>149.5</v>
      </c>
      <c r="E26" s="4">
        <v>154</v>
      </c>
      <c r="F26" s="4">
        <v>156</v>
      </c>
      <c r="G26" s="4">
        <v>155</v>
      </c>
      <c r="H26" s="4">
        <v>153</v>
      </c>
      <c r="I26" s="4">
        <v>149</v>
      </c>
      <c r="J26" s="4">
        <v>148</v>
      </c>
      <c r="K26" s="4">
        <v>145</v>
      </c>
      <c r="L26" s="4">
        <v>147</v>
      </c>
      <c r="M26" s="4"/>
      <c r="N26" s="4"/>
      <c r="O26" s="4"/>
      <c r="P26" s="4"/>
      <c r="Q26" s="4"/>
      <c r="R26" s="4"/>
      <c r="S26" s="4"/>
      <c r="T26" s="4"/>
      <c r="U26" s="4"/>
    </row>
    <row r="27" spans="2:21" x14ac:dyDescent="0.2">
      <c r="C27" s="3" t="s">
        <v>6</v>
      </c>
      <c r="D27" s="3">
        <f>(200+499)/2</f>
        <v>349.5</v>
      </c>
      <c r="E27" s="4">
        <v>792</v>
      </c>
      <c r="F27" s="4">
        <v>791</v>
      </c>
      <c r="G27" s="4">
        <v>790</v>
      </c>
      <c r="H27" s="4">
        <v>792</v>
      </c>
      <c r="I27" s="4">
        <v>794</v>
      </c>
      <c r="J27" s="4">
        <v>793</v>
      </c>
      <c r="K27" s="4">
        <v>795</v>
      </c>
      <c r="L27" s="4">
        <v>799</v>
      </c>
      <c r="M27" s="4"/>
      <c r="N27" s="4"/>
      <c r="O27" s="4"/>
      <c r="P27" s="4"/>
      <c r="Q27" s="4"/>
      <c r="R27" s="4"/>
      <c r="S27" s="4"/>
      <c r="T27" s="4"/>
      <c r="U27" s="4"/>
    </row>
    <row r="28" spans="2:21" x14ac:dyDescent="0.2">
      <c r="C28" s="3" t="s">
        <v>7</v>
      </c>
      <c r="D28" s="3">
        <f>(500+999)/2</f>
        <v>749.5</v>
      </c>
      <c r="E28" s="4">
        <v>40</v>
      </c>
      <c r="F28" s="4">
        <v>40</v>
      </c>
      <c r="G28" s="4">
        <v>40</v>
      </c>
      <c r="H28" s="4">
        <v>39</v>
      </c>
      <c r="I28" s="4">
        <v>39</v>
      </c>
      <c r="J28" s="4">
        <v>41</v>
      </c>
      <c r="K28" s="4">
        <v>42</v>
      </c>
      <c r="L28" s="4">
        <v>41</v>
      </c>
      <c r="M28" s="4"/>
      <c r="N28" s="4"/>
      <c r="O28" s="4"/>
      <c r="P28" s="4"/>
      <c r="Q28" s="4"/>
      <c r="R28" s="4"/>
      <c r="S28" s="4"/>
      <c r="T28" s="4"/>
      <c r="U28" s="4"/>
    </row>
    <row r="29" spans="2:21" x14ac:dyDescent="0.2">
      <c r="C29" s="3" t="s">
        <v>8</v>
      </c>
      <c r="D29" s="3">
        <f>(1000+1999)/2</f>
        <v>1499.5</v>
      </c>
      <c r="E29" s="4">
        <v>2</v>
      </c>
      <c r="F29" s="4">
        <v>2</v>
      </c>
      <c r="G29" s="4">
        <v>2</v>
      </c>
      <c r="H29" s="4">
        <v>2</v>
      </c>
      <c r="I29" s="4">
        <v>2</v>
      </c>
      <c r="J29" s="4">
        <v>2</v>
      </c>
      <c r="K29" s="4">
        <v>2</v>
      </c>
      <c r="L29" s="4">
        <v>2</v>
      </c>
      <c r="M29" s="4"/>
      <c r="N29" s="4"/>
      <c r="O29" s="4"/>
      <c r="P29" s="4"/>
      <c r="Q29" s="4"/>
      <c r="R29" s="4"/>
      <c r="S29" s="4"/>
      <c r="T29" s="4"/>
      <c r="U29" s="4"/>
    </row>
    <row r="30" spans="2:21" x14ac:dyDescent="0.2">
      <c r="C30" s="3" t="s">
        <v>9</v>
      </c>
      <c r="D30" s="3">
        <f>(2000+4999)/2</f>
        <v>3499.5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/>
      <c r="N30" s="4"/>
      <c r="O30" s="4"/>
      <c r="P30" s="4"/>
      <c r="Q30" s="4"/>
      <c r="R30" s="4"/>
      <c r="S30" s="4"/>
      <c r="T30" s="4"/>
      <c r="U30" s="4"/>
    </row>
    <row r="31" spans="2:21" x14ac:dyDescent="0.2">
      <c r="C31" s="3" t="s">
        <v>10</v>
      </c>
      <c r="D31" s="3">
        <f>5000</f>
        <v>5000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/>
      <c r="N31" s="4"/>
      <c r="O31" s="4"/>
      <c r="P31" s="4"/>
      <c r="Q31" s="4"/>
      <c r="R31" s="4"/>
      <c r="S31" s="4"/>
      <c r="T31" s="4"/>
      <c r="U31" s="4"/>
    </row>
    <row r="32" spans="2:21" x14ac:dyDescent="0.2">
      <c r="B32" s="3" t="s">
        <v>11</v>
      </c>
      <c r="C32" s="3" t="s">
        <v>4</v>
      </c>
      <c r="D32" s="3">
        <f>(99+0)/2</f>
        <v>49.5</v>
      </c>
      <c r="E32" s="4">
        <v>200</v>
      </c>
      <c r="F32" s="4">
        <v>191</v>
      </c>
      <c r="G32" s="4">
        <v>172</v>
      </c>
      <c r="H32" s="4">
        <v>160</v>
      </c>
      <c r="I32" s="4">
        <v>153</v>
      </c>
      <c r="J32" s="4">
        <v>146</v>
      </c>
      <c r="K32" s="4">
        <v>136</v>
      </c>
      <c r="L32" s="4">
        <v>131</v>
      </c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">
      <c r="C33" s="3" t="s">
        <v>5</v>
      </c>
      <c r="D33" s="3">
        <f>(199+100)/2</f>
        <v>149.5</v>
      </c>
      <c r="E33" s="4">
        <v>2468</v>
      </c>
      <c r="F33" s="4">
        <v>2476</v>
      </c>
      <c r="G33" s="4">
        <v>2472</v>
      </c>
      <c r="H33" s="4">
        <v>2464</v>
      </c>
      <c r="I33" s="4">
        <v>2456</v>
      </c>
      <c r="J33" s="4">
        <v>2435</v>
      </c>
      <c r="K33" s="4">
        <v>2416</v>
      </c>
      <c r="L33" s="4">
        <v>2412</v>
      </c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">
      <c r="C34" s="3" t="s">
        <v>6</v>
      </c>
      <c r="D34" s="3">
        <f>(200+499)/2</f>
        <v>349.5</v>
      </c>
      <c r="E34" s="4">
        <v>480</v>
      </c>
      <c r="F34" s="4">
        <v>488</v>
      </c>
      <c r="G34" s="4">
        <v>507</v>
      </c>
      <c r="H34" s="4">
        <v>530</v>
      </c>
      <c r="I34" s="4">
        <v>539</v>
      </c>
      <c r="J34" s="4">
        <v>575</v>
      </c>
      <c r="K34" s="4">
        <v>600</v>
      </c>
      <c r="L34" s="4">
        <v>619</v>
      </c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">
      <c r="C35" s="3" t="s">
        <v>7</v>
      </c>
      <c r="D35" s="3">
        <f>(500+999)/2</f>
        <v>749.5</v>
      </c>
      <c r="E35" s="4">
        <v>4</v>
      </c>
      <c r="F35" s="4">
        <v>4</v>
      </c>
      <c r="G35" s="4">
        <v>4</v>
      </c>
      <c r="H35" s="4">
        <v>4</v>
      </c>
      <c r="I35" s="4">
        <v>5</v>
      </c>
      <c r="J35" s="4">
        <v>5</v>
      </c>
      <c r="K35" s="4">
        <v>5</v>
      </c>
      <c r="L35" s="4">
        <v>6</v>
      </c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2">
      <c r="C36" s="3" t="s">
        <v>8</v>
      </c>
      <c r="D36" s="3">
        <f>(1000+1999)/2</f>
        <v>1499.5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">
      <c r="C37" s="3" t="s">
        <v>9</v>
      </c>
      <c r="D37" s="3">
        <f>(2000+4999)/2</f>
        <v>3499.5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2">
      <c r="C38" s="3" t="s">
        <v>10</v>
      </c>
      <c r="D38" s="3">
        <f>5000</f>
        <v>5000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">
      <c r="B39" s="3" t="s">
        <v>12</v>
      </c>
      <c r="C39" s="3" t="s">
        <v>4</v>
      </c>
      <c r="D39" s="3">
        <f>(99+0)/2</f>
        <v>49.5</v>
      </c>
      <c r="E39" s="4">
        <v>787</v>
      </c>
      <c r="F39" s="4">
        <v>767</v>
      </c>
      <c r="G39" s="4">
        <v>743</v>
      </c>
      <c r="H39" s="4">
        <v>717</v>
      </c>
      <c r="I39" s="4">
        <v>696</v>
      </c>
      <c r="J39" s="4">
        <v>647</v>
      </c>
      <c r="K39" s="4">
        <v>616</v>
      </c>
      <c r="L39" s="4">
        <v>587</v>
      </c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">
      <c r="C40" s="3" t="s">
        <v>5</v>
      </c>
      <c r="D40" s="3">
        <f>(199+100)/2</f>
        <v>149.5</v>
      </c>
      <c r="E40" s="4">
        <v>5585</v>
      </c>
      <c r="F40" s="4">
        <v>5591</v>
      </c>
      <c r="G40" s="4">
        <v>5589</v>
      </c>
      <c r="H40" s="4">
        <v>5604</v>
      </c>
      <c r="I40" s="4">
        <v>5613</v>
      </c>
      <c r="J40" s="4">
        <v>5603</v>
      </c>
      <c r="K40" s="4">
        <v>5616</v>
      </c>
      <c r="L40" s="4">
        <v>5623</v>
      </c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">
      <c r="C41" s="3" t="s">
        <v>6</v>
      </c>
      <c r="D41" s="3">
        <f>(200+499)/2</f>
        <v>349.5</v>
      </c>
      <c r="E41" s="4">
        <v>711</v>
      </c>
      <c r="F41" s="4">
        <v>719</v>
      </c>
      <c r="G41" s="4">
        <v>723</v>
      </c>
      <c r="H41" s="4">
        <v>731</v>
      </c>
      <c r="I41" s="4">
        <v>743</v>
      </c>
      <c r="J41" s="4">
        <v>803</v>
      </c>
      <c r="K41" s="4">
        <v>824</v>
      </c>
      <c r="L41" s="4">
        <v>846</v>
      </c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">
      <c r="C42" s="3" t="s">
        <v>7</v>
      </c>
      <c r="D42" s="3">
        <f>(500+999)/2</f>
        <v>749.5</v>
      </c>
      <c r="E42" s="4">
        <v>1</v>
      </c>
      <c r="F42" s="4">
        <v>1</v>
      </c>
      <c r="G42" s="4">
        <v>1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">
      <c r="C43" s="3" t="s">
        <v>8</v>
      </c>
      <c r="D43" s="3">
        <f>(1000+1999)/2</f>
        <v>1499.5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2">
      <c r="C44" s="3" t="s">
        <v>9</v>
      </c>
      <c r="D44" s="3">
        <f>(2000+4999)/2</f>
        <v>3499.5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">
      <c r="C45" s="3" t="s">
        <v>10</v>
      </c>
      <c r="D45" s="3">
        <f>5000</f>
        <v>5000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2">
      <c r="A46" s="3" t="s">
        <v>13</v>
      </c>
      <c r="B46" s="3" t="s">
        <v>3</v>
      </c>
      <c r="C46" s="3" t="s">
        <v>4</v>
      </c>
      <c r="D46" s="3"/>
      <c r="E46" s="4">
        <v>61184</v>
      </c>
      <c r="F46" s="4">
        <v>62028</v>
      </c>
      <c r="G46" s="4">
        <v>63000</v>
      </c>
      <c r="H46" s="4">
        <v>63252</v>
      </c>
      <c r="I46" s="4">
        <v>63214</v>
      </c>
      <c r="J46" s="4">
        <v>62980</v>
      </c>
      <c r="K46" s="4">
        <v>63083</v>
      </c>
      <c r="L46" s="4">
        <v>63110</v>
      </c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">
      <c r="C47" s="3" t="s">
        <v>5</v>
      </c>
      <c r="D47" s="3"/>
      <c r="E47" s="4">
        <v>118928</v>
      </c>
      <c r="F47" s="4">
        <v>122369</v>
      </c>
      <c r="G47" s="4">
        <v>126036</v>
      </c>
      <c r="H47" s="4">
        <v>128307</v>
      </c>
      <c r="I47" s="4">
        <v>129487</v>
      </c>
      <c r="J47" s="4">
        <v>130623</v>
      </c>
      <c r="K47" s="4">
        <v>131925</v>
      </c>
      <c r="L47" s="4">
        <v>133360</v>
      </c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">
      <c r="C48" s="3" t="s">
        <v>6</v>
      </c>
      <c r="D48" s="3"/>
      <c r="E48" s="4">
        <v>32553</v>
      </c>
      <c r="F48" s="4">
        <v>33333</v>
      </c>
      <c r="G48" s="4">
        <v>33969</v>
      </c>
      <c r="H48" s="4">
        <v>34394</v>
      </c>
      <c r="I48" s="4">
        <v>34639</v>
      </c>
      <c r="J48" s="4">
        <v>35068</v>
      </c>
      <c r="K48" s="4">
        <v>35650</v>
      </c>
      <c r="L48" s="4">
        <v>36116</v>
      </c>
      <c r="M48" s="4"/>
      <c r="N48" s="4"/>
      <c r="O48" s="4"/>
      <c r="P48" s="4"/>
      <c r="Q48" s="4"/>
      <c r="R48" s="4"/>
      <c r="S48" s="4"/>
      <c r="T48" s="4"/>
      <c r="U48" s="4"/>
    </row>
    <row r="49" spans="2:21" x14ac:dyDescent="0.2">
      <c r="C49" s="3" t="s">
        <v>7</v>
      </c>
      <c r="D49" s="3"/>
      <c r="E49" s="4">
        <v>5479</v>
      </c>
      <c r="F49" s="4">
        <v>5579</v>
      </c>
      <c r="G49" s="4">
        <v>5722</v>
      </c>
      <c r="H49" s="4">
        <v>5791</v>
      </c>
      <c r="I49" s="4">
        <v>5830</v>
      </c>
      <c r="J49" s="4">
        <v>5879</v>
      </c>
      <c r="K49" s="4">
        <v>5990</v>
      </c>
      <c r="L49" s="4">
        <v>6106</v>
      </c>
      <c r="M49" s="4"/>
      <c r="N49" s="4"/>
      <c r="O49" s="4"/>
      <c r="P49" s="4"/>
      <c r="Q49" s="4"/>
      <c r="R49" s="4"/>
      <c r="S49" s="4"/>
      <c r="T49" s="4"/>
      <c r="U49" s="4"/>
    </row>
    <row r="50" spans="2:21" x14ac:dyDescent="0.2">
      <c r="C50" s="3" t="s">
        <v>8</v>
      </c>
      <c r="D50" s="3"/>
      <c r="E50" s="4">
        <v>1217</v>
      </c>
      <c r="F50" s="4">
        <v>1242</v>
      </c>
      <c r="G50" s="4">
        <v>1251</v>
      </c>
      <c r="H50" s="4">
        <v>1247</v>
      </c>
      <c r="I50" s="4">
        <v>1242</v>
      </c>
      <c r="J50" s="4">
        <v>1248</v>
      </c>
      <c r="K50" s="4">
        <v>1265</v>
      </c>
      <c r="L50" s="4">
        <v>1285</v>
      </c>
      <c r="M50" s="4"/>
      <c r="N50" s="4"/>
      <c r="O50" s="4"/>
      <c r="P50" s="4"/>
      <c r="Q50" s="4"/>
      <c r="R50" s="4"/>
      <c r="S50" s="4"/>
      <c r="T50" s="4"/>
      <c r="U50" s="4"/>
    </row>
    <row r="51" spans="2:21" x14ac:dyDescent="0.2">
      <c r="C51" s="3" t="s">
        <v>9</v>
      </c>
      <c r="D51" s="3"/>
      <c r="E51" s="4">
        <v>201</v>
      </c>
      <c r="F51" s="4">
        <v>213</v>
      </c>
      <c r="G51" s="4">
        <v>222</v>
      </c>
      <c r="H51" s="4">
        <v>219</v>
      </c>
      <c r="I51" s="4">
        <v>218</v>
      </c>
      <c r="J51" s="4">
        <v>210</v>
      </c>
      <c r="K51" s="4">
        <v>214</v>
      </c>
      <c r="L51" s="4">
        <v>218</v>
      </c>
      <c r="M51" s="4"/>
      <c r="N51" s="4"/>
      <c r="O51" s="4"/>
      <c r="P51" s="4"/>
      <c r="Q51" s="4"/>
      <c r="R51" s="4"/>
      <c r="S51" s="4"/>
      <c r="T51" s="4"/>
      <c r="U51" s="4"/>
    </row>
    <row r="52" spans="2:21" x14ac:dyDescent="0.2">
      <c r="C52" s="3" t="s">
        <v>10</v>
      </c>
      <c r="D52" s="3"/>
      <c r="E52" s="4">
        <v>25</v>
      </c>
      <c r="F52" s="4">
        <v>23</v>
      </c>
      <c r="G52" s="4">
        <v>23</v>
      </c>
      <c r="H52" s="4">
        <v>22</v>
      </c>
      <c r="I52" s="4">
        <v>23</v>
      </c>
      <c r="J52" s="4">
        <v>21</v>
      </c>
      <c r="K52" s="4">
        <v>21</v>
      </c>
      <c r="L52" s="4">
        <v>20</v>
      </c>
      <c r="M52" s="4"/>
      <c r="N52" s="4"/>
      <c r="O52" s="4"/>
      <c r="P52" s="4"/>
      <c r="Q52" s="4"/>
      <c r="R52" s="4"/>
      <c r="S52" s="4"/>
      <c r="T52" s="4"/>
      <c r="U52" s="4"/>
    </row>
    <row r="53" spans="2:21" x14ac:dyDescent="0.2">
      <c r="B53" s="3" t="s">
        <v>19</v>
      </c>
      <c r="C53" s="3" t="s">
        <v>4</v>
      </c>
      <c r="D53" s="3"/>
      <c r="E53" s="4">
        <v>11442</v>
      </c>
      <c r="F53" s="4">
        <v>11723</v>
      </c>
      <c r="G53" s="4">
        <v>11972</v>
      </c>
      <c r="H53" s="4">
        <v>12046</v>
      </c>
      <c r="I53" s="4">
        <v>11952</v>
      </c>
      <c r="J53" s="4">
        <v>11894</v>
      </c>
      <c r="K53" s="4">
        <v>11924</v>
      </c>
      <c r="L53" s="4">
        <v>11925</v>
      </c>
      <c r="M53" s="4"/>
      <c r="N53" s="4"/>
      <c r="O53" s="4"/>
      <c r="P53" s="4"/>
      <c r="Q53" s="4"/>
      <c r="R53" s="4"/>
      <c r="S53" s="4"/>
      <c r="T53" s="4"/>
      <c r="U53" s="4"/>
    </row>
    <row r="54" spans="2:21" x14ac:dyDescent="0.2">
      <c r="C54" s="3" t="s">
        <v>5</v>
      </c>
      <c r="D54" s="3"/>
      <c r="E54" s="4">
        <v>44144</v>
      </c>
      <c r="F54" s="4">
        <v>45242</v>
      </c>
      <c r="G54" s="4">
        <v>46400</v>
      </c>
      <c r="H54" s="4">
        <v>47048</v>
      </c>
      <c r="I54" s="4">
        <v>47310</v>
      </c>
      <c r="J54" s="4">
        <v>47557</v>
      </c>
      <c r="K54" s="4">
        <v>47836</v>
      </c>
      <c r="L54" s="4">
        <v>48155</v>
      </c>
      <c r="M54" s="4"/>
      <c r="N54" s="4"/>
      <c r="O54" s="4"/>
      <c r="P54" s="4"/>
      <c r="Q54" s="4"/>
      <c r="R54" s="4"/>
      <c r="S54" s="4"/>
      <c r="T54" s="4"/>
      <c r="U54" s="4"/>
    </row>
    <row r="55" spans="2:21" x14ac:dyDescent="0.2">
      <c r="C55" s="3" t="s">
        <v>6</v>
      </c>
      <c r="D55" s="3"/>
      <c r="E55" s="4">
        <v>8348</v>
      </c>
      <c r="F55" s="4">
        <v>8480</v>
      </c>
      <c r="G55" s="4">
        <v>8512</v>
      </c>
      <c r="H55" s="4">
        <v>8560</v>
      </c>
      <c r="I55" s="4">
        <v>8585</v>
      </c>
      <c r="J55" s="4">
        <v>8699</v>
      </c>
      <c r="K55" s="4">
        <v>8774</v>
      </c>
      <c r="L55" s="4">
        <v>8889</v>
      </c>
      <c r="M55" s="4"/>
      <c r="N55" s="4"/>
      <c r="O55" s="4"/>
      <c r="P55" s="4"/>
      <c r="Q55" s="4"/>
      <c r="R55" s="4"/>
      <c r="S55" s="4"/>
      <c r="T55" s="4"/>
      <c r="U55" s="4"/>
    </row>
    <row r="56" spans="2:21" x14ac:dyDescent="0.2">
      <c r="C56" s="3" t="s">
        <v>7</v>
      </c>
      <c r="D56" s="3"/>
      <c r="E56" s="4">
        <v>1882</v>
      </c>
      <c r="F56" s="4">
        <v>1901</v>
      </c>
      <c r="G56" s="4">
        <v>1915</v>
      </c>
      <c r="H56" s="4">
        <v>1938</v>
      </c>
      <c r="I56" s="4">
        <v>1952</v>
      </c>
      <c r="J56" s="4">
        <v>1950</v>
      </c>
      <c r="K56" s="4">
        <v>1969</v>
      </c>
      <c r="L56" s="4">
        <v>2000</v>
      </c>
      <c r="M56" s="4"/>
      <c r="N56" s="4"/>
      <c r="O56" s="4"/>
      <c r="P56" s="4"/>
      <c r="Q56" s="4"/>
      <c r="R56" s="4"/>
      <c r="S56" s="4"/>
      <c r="T56" s="4"/>
      <c r="U56" s="4"/>
    </row>
    <row r="57" spans="2:21" x14ac:dyDescent="0.2">
      <c r="C57" s="3" t="s">
        <v>8</v>
      </c>
      <c r="D57" s="3"/>
      <c r="E57" s="4">
        <v>489</v>
      </c>
      <c r="F57" s="4">
        <v>493</v>
      </c>
      <c r="G57" s="4">
        <v>497</v>
      </c>
      <c r="H57" s="4">
        <v>496</v>
      </c>
      <c r="I57" s="4">
        <v>493</v>
      </c>
      <c r="J57" s="4">
        <v>495</v>
      </c>
      <c r="K57" s="4">
        <v>506</v>
      </c>
      <c r="L57" s="4">
        <v>511</v>
      </c>
      <c r="M57" s="4"/>
      <c r="N57" s="4"/>
      <c r="O57" s="4"/>
      <c r="P57" s="4"/>
      <c r="Q57" s="4"/>
      <c r="R57" s="4"/>
      <c r="S57" s="4"/>
      <c r="T57" s="4"/>
      <c r="U57" s="4"/>
    </row>
    <row r="58" spans="2:21" x14ac:dyDescent="0.2">
      <c r="C58" s="3" t="s">
        <v>9</v>
      </c>
      <c r="D58" s="3"/>
      <c r="E58" s="4">
        <v>72</v>
      </c>
      <c r="F58" s="4">
        <v>70</v>
      </c>
      <c r="G58" s="4">
        <v>73</v>
      </c>
      <c r="H58" s="4">
        <v>72</v>
      </c>
      <c r="I58" s="4">
        <v>73</v>
      </c>
      <c r="J58" s="4">
        <v>72</v>
      </c>
      <c r="K58" s="4">
        <v>73</v>
      </c>
      <c r="L58" s="4">
        <v>69</v>
      </c>
      <c r="M58" s="4"/>
      <c r="N58" s="4"/>
      <c r="O58" s="4"/>
      <c r="P58" s="4"/>
      <c r="Q58" s="4"/>
      <c r="R58" s="4"/>
      <c r="S58" s="4"/>
      <c r="T58" s="4"/>
      <c r="U58" s="4"/>
    </row>
    <row r="59" spans="2:21" x14ac:dyDescent="0.2">
      <c r="C59" s="3" t="s">
        <v>10</v>
      </c>
      <c r="D59" s="3"/>
      <c r="E59" s="4">
        <v>6</v>
      </c>
      <c r="F59" s="4">
        <v>4</v>
      </c>
      <c r="G59" s="4">
        <v>4</v>
      </c>
      <c r="H59" s="4">
        <v>5</v>
      </c>
      <c r="I59" s="4">
        <v>5</v>
      </c>
      <c r="J59" s="4">
        <v>4</v>
      </c>
      <c r="K59" s="4">
        <v>4</v>
      </c>
      <c r="L59" s="4">
        <v>4</v>
      </c>
      <c r="M59" s="4"/>
      <c r="N59" s="4"/>
      <c r="O59" s="4"/>
      <c r="P59" s="4"/>
      <c r="Q59" s="4"/>
      <c r="R59" s="4"/>
      <c r="S59" s="4"/>
      <c r="T59" s="4"/>
      <c r="U59" s="4"/>
    </row>
    <row r="60" spans="2:21" x14ac:dyDescent="0.2">
      <c r="B60" s="3" t="s">
        <v>29</v>
      </c>
      <c r="C60" s="3" t="s">
        <v>4</v>
      </c>
      <c r="D60" s="3"/>
      <c r="E60" s="4">
        <v>328</v>
      </c>
      <c r="F60" s="4">
        <v>327</v>
      </c>
      <c r="G60" s="4">
        <v>328</v>
      </c>
      <c r="H60" s="4">
        <v>324</v>
      </c>
      <c r="I60" s="4">
        <v>209</v>
      </c>
      <c r="J60" s="4">
        <v>207</v>
      </c>
      <c r="K60" s="4">
        <v>203</v>
      </c>
      <c r="L60" s="4">
        <v>198</v>
      </c>
      <c r="M60" s="4"/>
      <c r="N60" s="4"/>
      <c r="O60" s="4"/>
      <c r="P60" s="4"/>
      <c r="Q60" s="4"/>
      <c r="R60" s="4"/>
      <c r="S60" s="4"/>
      <c r="T60" s="4"/>
      <c r="U60" s="4"/>
    </row>
    <row r="61" spans="2:21" x14ac:dyDescent="0.2">
      <c r="C61" s="3" t="s">
        <v>5</v>
      </c>
      <c r="D61" s="3"/>
      <c r="E61" s="4">
        <v>3366</v>
      </c>
      <c r="F61" s="4">
        <v>3455</v>
      </c>
      <c r="G61" s="4">
        <v>3568</v>
      </c>
      <c r="H61" s="4">
        <v>3599</v>
      </c>
      <c r="I61" s="4">
        <v>3724</v>
      </c>
      <c r="J61" s="4">
        <v>3735</v>
      </c>
      <c r="K61" s="4">
        <v>3779</v>
      </c>
      <c r="L61" s="4">
        <v>3889</v>
      </c>
      <c r="M61" s="4"/>
      <c r="N61" s="4"/>
      <c r="O61" s="4"/>
      <c r="P61" s="4"/>
      <c r="Q61" s="4"/>
      <c r="R61" s="4"/>
      <c r="S61" s="4"/>
      <c r="T61" s="4"/>
      <c r="U61" s="4"/>
    </row>
    <row r="62" spans="2:21" x14ac:dyDescent="0.2">
      <c r="C62" s="3" t="s">
        <v>6</v>
      </c>
      <c r="D62" s="3"/>
      <c r="E62" s="4">
        <v>815</v>
      </c>
      <c r="F62" s="4">
        <v>845</v>
      </c>
      <c r="G62" s="4">
        <v>852</v>
      </c>
      <c r="H62" s="4">
        <v>858</v>
      </c>
      <c r="I62" s="4">
        <v>874</v>
      </c>
      <c r="J62" s="4">
        <v>891</v>
      </c>
      <c r="K62" s="4">
        <v>915</v>
      </c>
      <c r="L62" s="4">
        <v>935</v>
      </c>
      <c r="M62" s="4"/>
      <c r="N62" s="4"/>
      <c r="O62" s="4"/>
      <c r="P62" s="4"/>
      <c r="Q62" s="4"/>
      <c r="R62" s="4"/>
      <c r="S62" s="4"/>
      <c r="T62" s="4"/>
      <c r="U62" s="4"/>
    </row>
    <row r="63" spans="2:21" x14ac:dyDescent="0.2">
      <c r="C63" s="3" t="s">
        <v>7</v>
      </c>
      <c r="D63" s="3"/>
      <c r="E63" s="4">
        <v>90</v>
      </c>
      <c r="F63" s="4">
        <v>92</v>
      </c>
      <c r="G63" s="4">
        <v>97</v>
      </c>
      <c r="H63" s="4">
        <v>98</v>
      </c>
      <c r="I63" s="4">
        <v>99</v>
      </c>
      <c r="J63" s="4">
        <v>105</v>
      </c>
      <c r="K63" s="4">
        <v>105</v>
      </c>
      <c r="L63" s="4">
        <v>107</v>
      </c>
      <c r="M63" s="4"/>
      <c r="N63" s="4"/>
      <c r="O63" s="4"/>
      <c r="P63" s="4"/>
      <c r="Q63" s="4"/>
      <c r="R63" s="4"/>
      <c r="S63" s="4"/>
      <c r="T63" s="4"/>
      <c r="U63" s="4"/>
    </row>
    <row r="64" spans="2:21" x14ac:dyDescent="0.2">
      <c r="C64" s="3" t="s">
        <v>8</v>
      </c>
      <c r="D64" s="3"/>
      <c r="E64" s="4">
        <v>88</v>
      </c>
      <c r="F64" s="4">
        <v>89</v>
      </c>
      <c r="G64" s="4">
        <v>89</v>
      </c>
      <c r="H64" s="4">
        <v>89</v>
      </c>
      <c r="I64" s="4">
        <v>89</v>
      </c>
      <c r="J64" s="4">
        <v>89</v>
      </c>
      <c r="K64" s="4">
        <v>95</v>
      </c>
      <c r="L64" s="4">
        <v>95</v>
      </c>
      <c r="M64" s="4"/>
      <c r="N64" s="4"/>
      <c r="O64" s="4"/>
      <c r="P64" s="4"/>
      <c r="Q64" s="4"/>
      <c r="R64" s="4"/>
      <c r="S64" s="4"/>
      <c r="T64" s="4"/>
      <c r="U64" s="4"/>
    </row>
    <row r="65" spans="2:21" x14ac:dyDescent="0.2">
      <c r="C65" s="3" t="s">
        <v>9</v>
      </c>
      <c r="D65" s="3"/>
      <c r="E65" s="4">
        <v>14</v>
      </c>
      <c r="F65" s="4">
        <v>13</v>
      </c>
      <c r="G65" s="4">
        <v>13</v>
      </c>
      <c r="H65" s="4">
        <v>13</v>
      </c>
      <c r="I65" s="4">
        <v>13</v>
      </c>
      <c r="J65" s="4">
        <v>13</v>
      </c>
      <c r="K65" s="4">
        <v>14</v>
      </c>
      <c r="L65" s="4">
        <v>14</v>
      </c>
      <c r="M65" s="4"/>
      <c r="N65" s="4"/>
      <c r="O65" s="4"/>
      <c r="P65" s="4"/>
      <c r="Q65" s="4"/>
      <c r="R65" s="4"/>
      <c r="S65" s="4"/>
      <c r="T65" s="4"/>
      <c r="U65" s="4"/>
    </row>
    <row r="66" spans="2:21" x14ac:dyDescent="0.2">
      <c r="C66" s="3" t="s">
        <v>10</v>
      </c>
      <c r="D66" s="3"/>
      <c r="E66" s="4">
        <v>2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/>
      <c r="N66" s="4"/>
      <c r="O66" s="4"/>
      <c r="P66" s="4"/>
      <c r="Q66" s="4"/>
      <c r="R66" s="4"/>
      <c r="S66" s="4"/>
      <c r="T66" s="4"/>
      <c r="U66" s="4"/>
    </row>
    <row r="67" spans="2:21" x14ac:dyDescent="0.2">
      <c r="B67" s="3" t="s">
        <v>30</v>
      </c>
      <c r="C67" s="3" t="s">
        <v>4</v>
      </c>
      <c r="D67" s="3"/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/>
      <c r="N67" s="4"/>
      <c r="O67" s="4"/>
      <c r="P67" s="4"/>
      <c r="Q67" s="4"/>
      <c r="R67" s="4"/>
      <c r="S67" s="4"/>
      <c r="T67" s="4"/>
      <c r="U67" s="4"/>
    </row>
    <row r="68" spans="2:21" x14ac:dyDescent="0.2">
      <c r="C68" s="3" t="s">
        <v>5</v>
      </c>
      <c r="D68" s="3"/>
      <c r="E68" s="4">
        <v>149</v>
      </c>
      <c r="F68" s="4">
        <v>150</v>
      </c>
      <c r="G68" s="4">
        <v>152</v>
      </c>
      <c r="H68" s="4">
        <v>169</v>
      </c>
      <c r="I68" s="4">
        <v>170</v>
      </c>
      <c r="J68" s="4">
        <v>169</v>
      </c>
      <c r="K68" s="4">
        <v>168</v>
      </c>
      <c r="L68" s="4">
        <v>168</v>
      </c>
      <c r="M68" s="4"/>
      <c r="N68" s="4"/>
      <c r="O68" s="4"/>
      <c r="P68" s="4"/>
      <c r="Q68" s="4"/>
      <c r="R68" s="4"/>
      <c r="S68" s="4"/>
      <c r="T68" s="4"/>
      <c r="U68" s="4"/>
    </row>
    <row r="69" spans="2:21" x14ac:dyDescent="0.2">
      <c r="C69" s="3" t="s">
        <v>6</v>
      </c>
      <c r="D69" s="3"/>
      <c r="E69" s="4">
        <v>346</v>
      </c>
      <c r="F69" s="4">
        <v>345</v>
      </c>
      <c r="G69" s="4">
        <v>346</v>
      </c>
      <c r="H69" s="4">
        <v>346</v>
      </c>
      <c r="I69" s="4">
        <v>345</v>
      </c>
      <c r="J69" s="4">
        <v>346</v>
      </c>
      <c r="K69" s="4">
        <v>349</v>
      </c>
      <c r="L69" s="4">
        <v>350</v>
      </c>
      <c r="M69" s="4"/>
      <c r="N69" s="4"/>
      <c r="O69" s="4"/>
      <c r="P69" s="4"/>
      <c r="Q69" s="4"/>
      <c r="R69" s="4"/>
      <c r="S69" s="4"/>
      <c r="T69" s="4"/>
      <c r="U69" s="4"/>
    </row>
    <row r="70" spans="2:21" x14ac:dyDescent="0.2">
      <c r="C70" s="3" t="s">
        <v>7</v>
      </c>
      <c r="D70" s="3"/>
      <c r="E70" s="4">
        <v>3</v>
      </c>
      <c r="F70" s="4">
        <v>3</v>
      </c>
      <c r="G70" s="4">
        <v>3</v>
      </c>
      <c r="H70" s="4">
        <v>4</v>
      </c>
      <c r="I70" s="4">
        <v>4</v>
      </c>
      <c r="J70" s="4">
        <v>4</v>
      </c>
      <c r="K70" s="4">
        <v>8</v>
      </c>
      <c r="L70" s="4">
        <v>8</v>
      </c>
      <c r="M70" s="4"/>
      <c r="N70" s="4"/>
      <c r="O70" s="4"/>
      <c r="P70" s="4"/>
      <c r="Q70" s="4"/>
      <c r="R70" s="4"/>
      <c r="S70" s="4"/>
      <c r="T70" s="4"/>
      <c r="U70" s="4"/>
    </row>
    <row r="71" spans="2:21" x14ac:dyDescent="0.2">
      <c r="C71" s="3" t="s">
        <v>8</v>
      </c>
      <c r="D71" s="3"/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3</v>
      </c>
      <c r="L71" s="4">
        <v>3</v>
      </c>
      <c r="M71" s="4"/>
      <c r="N71" s="4"/>
      <c r="O71" s="4"/>
      <c r="P71" s="4"/>
      <c r="Q71" s="4"/>
      <c r="R71" s="4"/>
      <c r="S71" s="4"/>
      <c r="T71" s="4"/>
      <c r="U71" s="4"/>
    </row>
    <row r="72" spans="2:21" x14ac:dyDescent="0.2">
      <c r="C72" s="3" t="s">
        <v>9</v>
      </c>
      <c r="D72" s="3"/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/>
      <c r="N72" s="4"/>
      <c r="O72" s="4"/>
      <c r="P72" s="4"/>
      <c r="Q72" s="4"/>
      <c r="R72" s="4"/>
      <c r="S72" s="4"/>
      <c r="T72" s="4"/>
      <c r="U72" s="4"/>
    </row>
    <row r="73" spans="2:21" x14ac:dyDescent="0.2">
      <c r="C73" s="3" t="s">
        <v>10</v>
      </c>
      <c r="D73" s="3"/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/>
      <c r="N73" s="4"/>
      <c r="O73" s="4"/>
      <c r="P73" s="4"/>
      <c r="Q73" s="4"/>
      <c r="R73" s="4"/>
      <c r="S73" s="4"/>
      <c r="T73" s="4"/>
      <c r="U73" s="4"/>
    </row>
    <row r="74" spans="2:21" x14ac:dyDescent="0.2">
      <c r="B74" s="3" t="s">
        <v>11</v>
      </c>
      <c r="C74" s="3" t="s">
        <v>4</v>
      </c>
      <c r="D74" s="3"/>
      <c r="E74" s="4">
        <v>146</v>
      </c>
      <c r="F74" s="4">
        <v>176</v>
      </c>
      <c r="G74" s="4">
        <v>182</v>
      </c>
      <c r="H74" s="4">
        <v>182</v>
      </c>
      <c r="I74" s="4">
        <v>182</v>
      </c>
      <c r="J74" s="4">
        <v>193</v>
      </c>
      <c r="K74" s="4">
        <v>189</v>
      </c>
      <c r="L74" s="4">
        <v>205</v>
      </c>
      <c r="M74" s="4"/>
      <c r="N74" s="4"/>
      <c r="O74" s="4"/>
      <c r="P74" s="4"/>
      <c r="Q74" s="4"/>
      <c r="R74" s="4"/>
      <c r="S74" s="4"/>
      <c r="T74" s="4"/>
      <c r="U74" s="4"/>
    </row>
    <row r="75" spans="2:21" x14ac:dyDescent="0.2">
      <c r="C75" s="3" t="s">
        <v>5</v>
      </c>
      <c r="D75" s="3"/>
      <c r="E75" s="4">
        <v>662</v>
      </c>
      <c r="F75" s="4">
        <v>719</v>
      </c>
      <c r="G75" s="4">
        <v>792</v>
      </c>
      <c r="H75" s="4">
        <v>866</v>
      </c>
      <c r="I75" s="4">
        <v>868</v>
      </c>
      <c r="J75" s="4">
        <v>875</v>
      </c>
      <c r="K75" s="4">
        <v>891</v>
      </c>
      <c r="L75" s="4">
        <v>893</v>
      </c>
      <c r="M75" s="4"/>
      <c r="N75" s="4"/>
      <c r="O75" s="4"/>
      <c r="P75" s="4"/>
      <c r="Q75" s="4"/>
      <c r="R75" s="4"/>
      <c r="S75" s="4"/>
      <c r="T75" s="4"/>
      <c r="U75" s="4"/>
    </row>
    <row r="76" spans="2:21" x14ac:dyDescent="0.2">
      <c r="C76" s="3" t="s">
        <v>6</v>
      </c>
      <c r="D76" s="3"/>
      <c r="E76" s="4">
        <v>81</v>
      </c>
      <c r="F76" s="4">
        <v>82</v>
      </c>
      <c r="G76" s="4">
        <v>81</v>
      </c>
      <c r="H76" s="4">
        <v>81</v>
      </c>
      <c r="I76" s="4">
        <v>81</v>
      </c>
      <c r="J76" s="4">
        <v>81</v>
      </c>
      <c r="K76" s="4">
        <v>83</v>
      </c>
      <c r="L76" s="4">
        <v>83</v>
      </c>
      <c r="M76" s="4"/>
      <c r="N76" s="4"/>
      <c r="O76" s="4"/>
      <c r="P76" s="4"/>
      <c r="Q76" s="4"/>
      <c r="R76" s="4"/>
      <c r="S76" s="4"/>
      <c r="T76" s="4"/>
      <c r="U76" s="4"/>
    </row>
    <row r="77" spans="2:21" x14ac:dyDescent="0.2">
      <c r="C77" s="3" t="s">
        <v>7</v>
      </c>
      <c r="D77" s="3"/>
      <c r="E77" s="4">
        <v>7</v>
      </c>
      <c r="F77" s="4">
        <v>7</v>
      </c>
      <c r="G77" s="4">
        <v>7</v>
      </c>
      <c r="H77" s="4">
        <v>7</v>
      </c>
      <c r="I77" s="4">
        <v>7</v>
      </c>
      <c r="J77" s="4">
        <v>7</v>
      </c>
      <c r="K77" s="4">
        <v>5</v>
      </c>
      <c r="L77" s="4">
        <v>3</v>
      </c>
      <c r="M77" s="4"/>
      <c r="N77" s="4"/>
      <c r="O77" s="4"/>
      <c r="P77" s="4"/>
      <c r="Q77" s="4"/>
      <c r="R77" s="4"/>
      <c r="S77" s="4"/>
      <c r="T77" s="4"/>
      <c r="U77" s="4"/>
    </row>
    <row r="78" spans="2:21" x14ac:dyDescent="0.2">
      <c r="C78" s="3" t="s">
        <v>8</v>
      </c>
      <c r="D78" s="3"/>
      <c r="E78" s="4">
        <v>2</v>
      </c>
      <c r="F78" s="4">
        <v>2</v>
      </c>
      <c r="G78" s="4">
        <v>2</v>
      </c>
      <c r="H78" s="4">
        <v>2</v>
      </c>
      <c r="I78" s="4">
        <v>2</v>
      </c>
      <c r="J78" s="4">
        <v>2</v>
      </c>
      <c r="K78" s="4">
        <v>2</v>
      </c>
      <c r="L78" s="4">
        <v>2</v>
      </c>
      <c r="M78" s="4"/>
      <c r="N78" s="4"/>
      <c r="O78" s="4"/>
      <c r="P78" s="4"/>
      <c r="Q78" s="4"/>
      <c r="R78" s="4"/>
      <c r="S78" s="4"/>
      <c r="T78" s="4"/>
      <c r="U78" s="4"/>
    </row>
    <row r="79" spans="2:21" x14ac:dyDescent="0.2">
      <c r="C79" s="3" t="s">
        <v>9</v>
      </c>
      <c r="D79" s="3"/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/>
      <c r="N79" s="4"/>
      <c r="O79" s="4"/>
      <c r="P79" s="4"/>
      <c r="Q79" s="4"/>
      <c r="R79" s="4"/>
      <c r="S79" s="4"/>
      <c r="T79" s="4"/>
      <c r="U79" s="4"/>
    </row>
    <row r="80" spans="2:21" x14ac:dyDescent="0.2">
      <c r="C80" s="3" t="s">
        <v>10</v>
      </c>
      <c r="D80" s="3"/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/>
      <c r="N80" s="4"/>
      <c r="O80" s="4"/>
      <c r="P80" s="4"/>
      <c r="Q80" s="4"/>
      <c r="R80" s="4"/>
      <c r="S80" s="4"/>
      <c r="T80" s="4"/>
      <c r="U80" s="4"/>
    </row>
    <row r="81" spans="1:21" x14ac:dyDescent="0.2">
      <c r="B81" s="3" t="s">
        <v>12</v>
      </c>
      <c r="C81" s="3" t="s">
        <v>4</v>
      </c>
      <c r="D81" s="3"/>
      <c r="E81" s="4">
        <v>104</v>
      </c>
      <c r="F81" s="4">
        <v>103</v>
      </c>
      <c r="G81" s="4">
        <v>100</v>
      </c>
      <c r="H81" s="4">
        <v>96</v>
      </c>
      <c r="I81" s="4">
        <v>96</v>
      </c>
      <c r="J81" s="4">
        <v>95</v>
      </c>
      <c r="K81" s="4">
        <v>94</v>
      </c>
      <c r="L81" s="4">
        <v>90</v>
      </c>
      <c r="M81" s="4"/>
      <c r="N81" s="4"/>
      <c r="O81" s="4"/>
      <c r="P81" s="4"/>
      <c r="Q81" s="4"/>
      <c r="R81" s="4"/>
      <c r="S81" s="4"/>
      <c r="T81" s="4"/>
      <c r="U81" s="4"/>
    </row>
    <row r="82" spans="1:21" x14ac:dyDescent="0.2">
      <c r="C82" s="3" t="s">
        <v>5</v>
      </c>
      <c r="D82" s="3"/>
      <c r="E82" s="4">
        <v>1322</v>
      </c>
      <c r="F82" s="4">
        <v>1385</v>
      </c>
      <c r="G82" s="4">
        <v>1426</v>
      </c>
      <c r="H82" s="4">
        <v>1440</v>
      </c>
      <c r="I82" s="4">
        <v>1440</v>
      </c>
      <c r="J82" s="4">
        <v>1437</v>
      </c>
      <c r="K82" s="4">
        <v>1438</v>
      </c>
      <c r="L82" s="4">
        <v>1439</v>
      </c>
      <c r="M82" s="4"/>
      <c r="N82" s="4"/>
      <c r="O82" s="4"/>
      <c r="P82" s="4"/>
      <c r="Q82" s="4"/>
      <c r="R82" s="4"/>
      <c r="S82" s="4"/>
      <c r="T82" s="4"/>
      <c r="U82" s="4"/>
    </row>
    <row r="83" spans="1:21" x14ac:dyDescent="0.2">
      <c r="C83" s="3" t="s">
        <v>6</v>
      </c>
      <c r="D83" s="3"/>
      <c r="E83" s="4">
        <v>60</v>
      </c>
      <c r="F83" s="4">
        <v>60</v>
      </c>
      <c r="G83" s="4">
        <v>60</v>
      </c>
      <c r="H83" s="4">
        <v>60</v>
      </c>
      <c r="I83" s="4">
        <v>61</v>
      </c>
      <c r="J83" s="4">
        <v>65</v>
      </c>
      <c r="K83" s="4">
        <v>65</v>
      </c>
      <c r="L83" s="4">
        <v>68</v>
      </c>
      <c r="M83" s="4"/>
      <c r="N83" s="4"/>
      <c r="O83" s="4"/>
      <c r="P83" s="4"/>
      <c r="Q83" s="4"/>
      <c r="R83" s="4"/>
      <c r="S83" s="4"/>
      <c r="T83" s="4"/>
      <c r="U83" s="4"/>
    </row>
    <row r="84" spans="1:21" x14ac:dyDescent="0.2">
      <c r="C84" s="3" t="s">
        <v>7</v>
      </c>
      <c r="D84" s="3"/>
      <c r="E84" s="4">
        <v>4</v>
      </c>
      <c r="F84" s="4">
        <v>4</v>
      </c>
      <c r="G84" s="4">
        <v>4</v>
      </c>
      <c r="H84" s="4">
        <v>4</v>
      </c>
      <c r="I84" s="4">
        <v>4</v>
      </c>
      <c r="J84" s="4">
        <v>4</v>
      </c>
      <c r="K84" s="4">
        <v>4</v>
      </c>
      <c r="L84" s="4">
        <v>4</v>
      </c>
      <c r="M84" s="4"/>
      <c r="N84" s="4"/>
      <c r="O84" s="4"/>
      <c r="P84" s="4"/>
      <c r="Q84" s="4"/>
      <c r="R84" s="4"/>
      <c r="S84" s="4"/>
      <c r="T84" s="4"/>
      <c r="U84" s="4"/>
    </row>
    <row r="85" spans="1:21" x14ac:dyDescent="0.2">
      <c r="C85" s="3" t="s">
        <v>8</v>
      </c>
      <c r="D85" s="3"/>
      <c r="E85" s="4">
        <v>0</v>
      </c>
      <c r="F85" s="4">
        <v>0</v>
      </c>
      <c r="G85" s="4">
        <v>1</v>
      </c>
      <c r="H85" s="4">
        <v>1</v>
      </c>
      <c r="I85" s="4">
        <v>0</v>
      </c>
      <c r="J85" s="4">
        <v>0</v>
      </c>
      <c r="K85" s="4">
        <v>0</v>
      </c>
      <c r="L85" s="4">
        <v>0</v>
      </c>
      <c r="M85" s="4"/>
      <c r="N85" s="4"/>
      <c r="O85" s="4"/>
      <c r="P85" s="4"/>
      <c r="Q85" s="4"/>
      <c r="R85" s="4"/>
      <c r="S85" s="4"/>
      <c r="T85" s="4"/>
      <c r="U85" s="4"/>
    </row>
    <row r="86" spans="1:21" x14ac:dyDescent="0.2">
      <c r="C86" s="3" t="s">
        <v>9</v>
      </c>
      <c r="D86" s="3"/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/>
      <c r="N86" s="4"/>
      <c r="O86" s="4"/>
      <c r="P86" s="4"/>
      <c r="Q86" s="4"/>
      <c r="R86" s="4"/>
      <c r="S86" s="4"/>
      <c r="T86" s="4"/>
      <c r="U86" s="4"/>
    </row>
    <row r="87" spans="1:21" x14ac:dyDescent="0.2">
      <c r="C87" s="3" t="s">
        <v>10</v>
      </c>
      <c r="D87" s="3"/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/>
      <c r="N87" s="4"/>
      <c r="O87" s="4"/>
      <c r="P87" s="4"/>
      <c r="Q87" s="4"/>
      <c r="R87" s="4"/>
      <c r="S87" s="4"/>
      <c r="T87" s="4"/>
      <c r="U87" s="4"/>
    </row>
    <row r="88" spans="1:21" x14ac:dyDescent="0.2">
      <c r="A88" s="3" t="s">
        <v>14</v>
      </c>
      <c r="B88" s="3" t="s">
        <v>3</v>
      </c>
      <c r="C88" s="3" t="s">
        <v>4</v>
      </c>
      <c r="D88" s="3"/>
      <c r="E88" s="4">
        <v>532</v>
      </c>
      <c r="F88" s="4">
        <v>527</v>
      </c>
      <c r="G88" s="4">
        <v>528</v>
      </c>
      <c r="H88" s="4">
        <v>537</v>
      </c>
      <c r="I88" s="4">
        <v>537</v>
      </c>
      <c r="J88" s="4">
        <v>533</v>
      </c>
      <c r="K88" s="4">
        <v>525</v>
      </c>
      <c r="L88" s="4">
        <v>522</v>
      </c>
      <c r="M88" s="4"/>
      <c r="N88" s="4"/>
      <c r="O88" s="4"/>
      <c r="P88" s="4"/>
      <c r="Q88" s="4"/>
      <c r="R88" s="4"/>
      <c r="S88" s="4"/>
      <c r="T88" s="4"/>
      <c r="U88" s="4"/>
    </row>
    <row r="89" spans="1:21" x14ac:dyDescent="0.2">
      <c r="C89" s="3" t="s">
        <v>5</v>
      </c>
      <c r="D89" s="3"/>
      <c r="E89" s="4">
        <v>8281</v>
      </c>
      <c r="F89" s="4">
        <v>8227</v>
      </c>
      <c r="G89" s="4">
        <v>8153</v>
      </c>
      <c r="H89" s="4">
        <v>8077</v>
      </c>
      <c r="I89" s="4">
        <v>8073</v>
      </c>
      <c r="J89" s="4">
        <v>8020</v>
      </c>
      <c r="K89" s="4">
        <v>7987</v>
      </c>
      <c r="L89" s="4">
        <v>7998</v>
      </c>
      <c r="M89" s="4"/>
      <c r="N89" s="4"/>
      <c r="O89" s="4"/>
      <c r="P89" s="4"/>
      <c r="Q89" s="4"/>
      <c r="R89" s="4"/>
      <c r="S89" s="4"/>
      <c r="T89" s="4"/>
      <c r="U89" s="4"/>
    </row>
    <row r="90" spans="1:21" x14ac:dyDescent="0.2">
      <c r="C90" s="3" t="s">
        <v>6</v>
      </c>
      <c r="D90" s="3"/>
      <c r="E90" s="4">
        <v>35440</v>
      </c>
      <c r="F90" s="4">
        <v>35497</v>
      </c>
      <c r="G90" s="4">
        <v>35506</v>
      </c>
      <c r="H90" s="4">
        <v>35530</v>
      </c>
      <c r="I90" s="4">
        <v>35657</v>
      </c>
      <c r="J90" s="4">
        <v>35677</v>
      </c>
      <c r="K90" s="4">
        <v>35719</v>
      </c>
      <c r="L90" s="4">
        <v>35771</v>
      </c>
      <c r="M90" s="4"/>
      <c r="N90" s="4"/>
      <c r="O90" s="4"/>
      <c r="P90" s="4"/>
      <c r="Q90" s="4"/>
      <c r="R90" s="4"/>
      <c r="S90" s="4"/>
      <c r="T90" s="4"/>
      <c r="U90" s="4"/>
    </row>
    <row r="91" spans="1:21" x14ac:dyDescent="0.2">
      <c r="C91" s="3" t="s">
        <v>7</v>
      </c>
      <c r="D91" s="3"/>
      <c r="E91" s="4">
        <v>16922</v>
      </c>
      <c r="F91" s="4">
        <v>17139</v>
      </c>
      <c r="G91" s="4">
        <v>17277</v>
      </c>
      <c r="H91" s="4">
        <v>17376</v>
      </c>
      <c r="I91" s="4">
        <v>17462</v>
      </c>
      <c r="J91" s="4">
        <v>17608</v>
      </c>
      <c r="K91" s="4">
        <v>17792</v>
      </c>
      <c r="L91" s="4">
        <v>17899</v>
      </c>
      <c r="M91" s="4"/>
      <c r="N91" s="4"/>
      <c r="O91" s="4"/>
      <c r="P91" s="4"/>
      <c r="Q91" s="4"/>
      <c r="R91" s="4"/>
      <c r="S91" s="4"/>
      <c r="T91" s="4"/>
      <c r="U91" s="4"/>
    </row>
    <row r="92" spans="1:21" x14ac:dyDescent="0.2">
      <c r="C92" s="3" t="s">
        <v>8</v>
      </c>
      <c r="D92" s="3"/>
      <c r="E92" s="4">
        <v>13114</v>
      </c>
      <c r="F92" s="4">
        <v>13291</v>
      </c>
      <c r="G92" s="4">
        <v>13382</v>
      </c>
      <c r="H92" s="4">
        <v>13486</v>
      </c>
      <c r="I92" s="4">
        <v>13545</v>
      </c>
      <c r="J92" s="4">
        <v>13619</v>
      </c>
      <c r="K92" s="4">
        <v>13782</v>
      </c>
      <c r="L92" s="4">
        <v>13908</v>
      </c>
      <c r="M92" s="4"/>
      <c r="N92" s="4"/>
      <c r="O92" s="4"/>
      <c r="P92" s="4"/>
      <c r="Q92" s="4"/>
      <c r="R92" s="4"/>
      <c r="S92" s="4"/>
      <c r="T92" s="4"/>
      <c r="U92" s="4"/>
    </row>
    <row r="93" spans="1:21" x14ac:dyDescent="0.2">
      <c r="C93" s="3" t="s">
        <v>9</v>
      </c>
      <c r="D93" s="3"/>
      <c r="E93" s="4">
        <v>11256</v>
      </c>
      <c r="F93" s="4">
        <v>11363</v>
      </c>
      <c r="G93" s="4">
        <v>11435</v>
      </c>
      <c r="H93" s="4">
        <v>11481</v>
      </c>
      <c r="I93" s="4">
        <v>11510</v>
      </c>
      <c r="J93" s="4">
        <v>11545</v>
      </c>
      <c r="K93" s="4">
        <v>11599</v>
      </c>
      <c r="L93" s="4">
        <v>11693</v>
      </c>
      <c r="M93" s="4"/>
      <c r="N93" s="4"/>
      <c r="O93" s="4"/>
      <c r="P93" s="4"/>
      <c r="Q93" s="4"/>
      <c r="R93" s="4"/>
      <c r="S93" s="4"/>
      <c r="T93" s="4"/>
      <c r="U93" s="4"/>
    </row>
    <row r="94" spans="1:21" x14ac:dyDescent="0.2">
      <c r="C94" s="3" t="s">
        <v>10</v>
      </c>
      <c r="D94" s="3"/>
      <c r="E94" s="4">
        <v>2534</v>
      </c>
      <c r="F94" s="4">
        <v>2596</v>
      </c>
      <c r="G94" s="4">
        <v>2641</v>
      </c>
      <c r="H94" s="4">
        <v>2669</v>
      </c>
      <c r="I94" s="4">
        <v>2696</v>
      </c>
      <c r="J94" s="4">
        <v>2715</v>
      </c>
      <c r="K94" s="4">
        <v>2743</v>
      </c>
      <c r="L94" s="4">
        <v>2770</v>
      </c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">
      <c r="B95" s="3" t="s">
        <v>19</v>
      </c>
      <c r="C95" s="3" t="s">
        <v>4</v>
      </c>
      <c r="D95" s="3"/>
      <c r="E95" s="4">
        <v>80</v>
      </c>
      <c r="F95" s="4">
        <v>77</v>
      </c>
      <c r="G95" s="4">
        <v>75</v>
      </c>
      <c r="H95" s="4">
        <v>74</v>
      </c>
      <c r="I95" s="4">
        <v>80</v>
      </c>
      <c r="J95" s="4">
        <v>80</v>
      </c>
      <c r="K95" s="4">
        <v>80</v>
      </c>
      <c r="L95" s="4">
        <v>79</v>
      </c>
      <c r="M95" s="4"/>
      <c r="N95" s="4"/>
      <c r="O95" s="4"/>
      <c r="P95" s="4"/>
      <c r="Q95" s="4"/>
      <c r="R95" s="4"/>
      <c r="S95" s="4"/>
      <c r="T95" s="4"/>
      <c r="U95" s="4"/>
    </row>
    <row r="96" spans="1:21" x14ac:dyDescent="0.2">
      <c r="C96" s="3" t="s">
        <v>5</v>
      </c>
      <c r="D96" s="3"/>
      <c r="E96" s="4">
        <v>933</v>
      </c>
      <c r="F96" s="4">
        <v>931</v>
      </c>
      <c r="G96" s="4">
        <v>933</v>
      </c>
      <c r="H96" s="4">
        <v>911</v>
      </c>
      <c r="I96" s="4">
        <v>885</v>
      </c>
      <c r="J96" s="4">
        <v>872</v>
      </c>
      <c r="K96" s="4">
        <v>865</v>
      </c>
      <c r="L96" s="4">
        <v>913</v>
      </c>
      <c r="M96" s="4"/>
      <c r="N96" s="4"/>
      <c r="O96" s="4"/>
      <c r="P96" s="4"/>
      <c r="Q96" s="4"/>
      <c r="R96" s="4"/>
      <c r="S96" s="4"/>
      <c r="T96" s="4"/>
      <c r="U96" s="4"/>
    </row>
    <row r="97" spans="2:21" x14ac:dyDescent="0.2">
      <c r="C97" s="3" t="s">
        <v>6</v>
      </c>
      <c r="D97" s="3"/>
      <c r="E97" s="4">
        <v>7800</v>
      </c>
      <c r="F97" s="4">
        <v>7806</v>
      </c>
      <c r="G97" s="4">
        <v>7785</v>
      </c>
      <c r="H97" s="4">
        <v>7763</v>
      </c>
      <c r="I97" s="4">
        <v>7745</v>
      </c>
      <c r="J97" s="4">
        <v>7700</v>
      </c>
      <c r="K97" s="4">
        <v>7664</v>
      </c>
      <c r="L97" s="4">
        <v>7633</v>
      </c>
      <c r="M97" s="4"/>
      <c r="N97" s="4"/>
      <c r="O97" s="4"/>
      <c r="P97" s="4"/>
      <c r="Q97" s="4"/>
      <c r="R97" s="4"/>
      <c r="S97" s="4"/>
      <c r="T97" s="4"/>
      <c r="U97" s="4"/>
    </row>
    <row r="98" spans="2:21" x14ac:dyDescent="0.2">
      <c r="C98" s="3" t="s">
        <v>7</v>
      </c>
      <c r="D98" s="3"/>
      <c r="E98" s="4">
        <v>4584</v>
      </c>
      <c r="F98" s="4">
        <v>4628</v>
      </c>
      <c r="G98" s="4">
        <v>4663</v>
      </c>
      <c r="H98" s="4">
        <v>4682</v>
      </c>
      <c r="I98" s="4">
        <v>4665</v>
      </c>
      <c r="J98" s="4">
        <v>4689</v>
      </c>
      <c r="K98" s="4">
        <v>4721</v>
      </c>
      <c r="L98" s="4">
        <v>4742</v>
      </c>
      <c r="M98" s="4"/>
      <c r="N98" s="4"/>
      <c r="O98" s="4"/>
      <c r="P98" s="4"/>
      <c r="Q98" s="4"/>
      <c r="R98" s="4"/>
      <c r="S98" s="4"/>
      <c r="T98" s="4"/>
      <c r="U98" s="4"/>
    </row>
    <row r="99" spans="2:21" x14ac:dyDescent="0.2">
      <c r="C99" s="3" t="s">
        <v>8</v>
      </c>
      <c r="D99" s="3"/>
      <c r="E99" s="4">
        <v>6277</v>
      </c>
      <c r="F99" s="4">
        <v>6336</v>
      </c>
      <c r="G99" s="4">
        <v>6347</v>
      </c>
      <c r="H99" s="4">
        <v>6365</v>
      </c>
      <c r="I99" s="4">
        <v>6367</v>
      </c>
      <c r="J99" s="4">
        <v>6389</v>
      </c>
      <c r="K99" s="4">
        <v>6413</v>
      </c>
      <c r="L99" s="4">
        <v>6461</v>
      </c>
      <c r="M99" s="4"/>
      <c r="N99" s="4"/>
      <c r="O99" s="4"/>
      <c r="P99" s="4"/>
      <c r="Q99" s="4"/>
      <c r="R99" s="4"/>
      <c r="S99" s="4"/>
      <c r="T99" s="4"/>
      <c r="U99" s="4"/>
    </row>
    <row r="100" spans="2:21" x14ac:dyDescent="0.2">
      <c r="C100" s="3" t="s">
        <v>9</v>
      </c>
      <c r="D100" s="3"/>
      <c r="E100" s="4">
        <v>6586</v>
      </c>
      <c r="F100" s="4">
        <v>6638</v>
      </c>
      <c r="G100" s="4">
        <v>6670</v>
      </c>
      <c r="H100" s="4">
        <v>6695</v>
      </c>
      <c r="I100" s="4">
        <v>6695</v>
      </c>
      <c r="J100" s="4">
        <v>6717</v>
      </c>
      <c r="K100" s="4">
        <v>6734</v>
      </c>
      <c r="L100" s="4">
        <v>6777</v>
      </c>
      <c r="M100" s="4"/>
      <c r="N100" s="4"/>
      <c r="O100" s="4"/>
      <c r="P100" s="4"/>
      <c r="Q100" s="4"/>
      <c r="R100" s="4"/>
      <c r="S100" s="4"/>
      <c r="T100" s="4"/>
      <c r="U100" s="4"/>
    </row>
    <row r="101" spans="2:21" x14ac:dyDescent="0.2">
      <c r="C101" s="3" t="s">
        <v>10</v>
      </c>
      <c r="D101" s="3"/>
      <c r="E101" s="4">
        <v>1732</v>
      </c>
      <c r="F101" s="4">
        <v>1776</v>
      </c>
      <c r="G101" s="4">
        <v>1817</v>
      </c>
      <c r="H101" s="4">
        <v>1831</v>
      </c>
      <c r="I101" s="4">
        <v>1850</v>
      </c>
      <c r="J101" s="4">
        <v>1861</v>
      </c>
      <c r="K101" s="4">
        <v>1877</v>
      </c>
      <c r="L101" s="4">
        <v>1890</v>
      </c>
      <c r="M101" s="4"/>
      <c r="N101" s="4"/>
      <c r="O101" s="4"/>
      <c r="P101" s="4"/>
      <c r="Q101" s="4"/>
      <c r="R101" s="4"/>
      <c r="S101" s="4"/>
      <c r="T101" s="4"/>
      <c r="U101" s="4"/>
    </row>
    <row r="102" spans="2:21" x14ac:dyDescent="0.2">
      <c r="B102" s="3" t="s">
        <v>29</v>
      </c>
      <c r="C102" s="3" t="s">
        <v>4</v>
      </c>
      <c r="D102" s="3"/>
      <c r="E102" s="4">
        <v>19</v>
      </c>
      <c r="F102" s="4">
        <v>18</v>
      </c>
      <c r="G102" s="4">
        <v>17</v>
      </c>
      <c r="H102" s="4">
        <v>17</v>
      </c>
      <c r="I102" s="4">
        <v>17</v>
      </c>
      <c r="J102" s="4">
        <v>17</v>
      </c>
      <c r="K102" s="4">
        <v>18</v>
      </c>
      <c r="L102" s="4">
        <v>20</v>
      </c>
      <c r="M102" s="4"/>
      <c r="N102" s="4"/>
      <c r="O102" s="4"/>
      <c r="P102" s="4"/>
      <c r="Q102" s="4"/>
      <c r="R102" s="4"/>
      <c r="S102" s="4"/>
      <c r="T102" s="4"/>
      <c r="U102" s="4"/>
    </row>
    <row r="103" spans="2:21" x14ac:dyDescent="0.2">
      <c r="C103" s="3" t="s">
        <v>5</v>
      </c>
      <c r="D103" s="3"/>
      <c r="E103" s="4">
        <v>277</v>
      </c>
      <c r="F103" s="4">
        <v>272</v>
      </c>
      <c r="G103" s="4">
        <v>272</v>
      </c>
      <c r="H103" s="4">
        <v>268</v>
      </c>
      <c r="I103" s="4">
        <v>261</v>
      </c>
      <c r="J103" s="4">
        <v>251</v>
      </c>
      <c r="K103" s="4">
        <v>244</v>
      </c>
      <c r="L103" s="4">
        <v>294</v>
      </c>
      <c r="M103" s="4"/>
      <c r="N103" s="4"/>
      <c r="O103" s="4"/>
      <c r="P103" s="4"/>
      <c r="Q103" s="4"/>
      <c r="R103" s="4"/>
      <c r="S103" s="4"/>
      <c r="T103" s="4"/>
      <c r="U103" s="4"/>
    </row>
    <row r="104" spans="2:21" x14ac:dyDescent="0.2">
      <c r="C104" s="3" t="s">
        <v>6</v>
      </c>
      <c r="D104" s="3"/>
      <c r="E104" s="4">
        <v>2981</v>
      </c>
      <c r="F104" s="4">
        <v>2971</v>
      </c>
      <c r="G104" s="4">
        <v>2961</v>
      </c>
      <c r="H104" s="4">
        <v>2944</v>
      </c>
      <c r="I104" s="4">
        <v>2916</v>
      </c>
      <c r="J104" s="4">
        <v>2892</v>
      </c>
      <c r="K104" s="4">
        <v>2855</v>
      </c>
      <c r="L104" s="4">
        <v>2846</v>
      </c>
      <c r="M104" s="4"/>
      <c r="N104" s="4"/>
      <c r="O104" s="4"/>
      <c r="P104" s="4"/>
      <c r="Q104" s="4"/>
      <c r="R104" s="4"/>
      <c r="S104" s="4"/>
      <c r="T104" s="4"/>
      <c r="U104" s="4"/>
    </row>
    <row r="105" spans="2:21" x14ac:dyDescent="0.2">
      <c r="C105" s="3" t="s">
        <v>7</v>
      </c>
      <c r="D105" s="3"/>
      <c r="E105" s="4">
        <v>1753</v>
      </c>
      <c r="F105" s="4">
        <v>1752</v>
      </c>
      <c r="G105" s="4">
        <v>1771</v>
      </c>
      <c r="H105" s="4">
        <v>1777</v>
      </c>
      <c r="I105" s="4">
        <v>1773</v>
      </c>
      <c r="J105" s="4">
        <v>1763</v>
      </c>
      <c r="K105" s="4">
        <v>1782</v>
      </c>
      <c r="L105" s="4">
        <v>1786</v>
      </c>
      <c r="M105" s="4"/>
      <c r="N105" s="4"/>
      <c r="O105" s="4"/>
      <c r="P105" s="4"/>
      <c r="Q105" s="4"/>
      <c r="R105" s="4"/>
      <c r="S105" s="4"/>
      <c r="T105" s="4"/>
      <c r="U105" s="4"/>
    </row>
    <row r="106" spans="2:21" x14ac:dyDescent="0.2">
      <c r="C106" s="3" t="s">
        <v>8</v>
      </c>
      <c r="D106" s="3"/>
      <c r="E106" s="4">
        <v>3074</v>
      </c>
      <c r="F106" s="4">
        <v>3093</v>
      </c>
      <c r="G106" s="4">
        <v>3073</v>
      </c>
      <c r="H106" s="4">
        <v>3076</v>
      </c>
      <c r="I106" s="4">
        <v>3065</v>
      </c>
      <c r="J106" s="4">
        <v>3070</v>
      </c>
      <c r="K106" s="4">
        <v>3082</v>
      </c>
      <c r="L106" s="4">
        <v>3107</v>
      </c>
      <c r="M106" s="4"/>
      <c r="N106" s="4"/>
      <c r="O106" s="4"/>
      <c r="P106" s="4"/>
      <c r="Q106" s="4"/>
      <c r="R106" s="4"/>
      <c r="S106" s="4"/>
      <c r="T106" s="4"/>
      <c r="U106" s="4"/>
    </row>
    <row r="107" spans="2:21" x14ac:dyDescent="0.2">
      <c r="C107" s="3" t="s">
        <v>9</v>
      </c>
      <c r="D107" s="3"/>
      <c r="E107" s="4">
        <v>3300</v>
      </c>
      <c r="F107" s="4">
        <v>3326</v>
      </c>
      <c r="G107" s="4">
        <v>3343</v>
      </c>
      <c r="H107" s="4">
        <v>3343</v>
      </c>
      <c r="I107" s="4">
        <v>3347</v>
      </c>
      <c r="J107" s="4">
        <v>3365</v>
      </c>
      <c r="K107" s="4">
        <v>3374</v>
      </c>
      <c r="L107" s="4">
        <v>3403</v>
      </c>
      <c r="M107" s="4"/>
      <c r="N107" s="4"/>
      <c r="O107" s="4"/>
      <c r="P107" s="4"/>
      <c r="Q107" s="4"/>
      <c r="R107" s="4"/>
      <c r="S107" s="4"/>
      <c r="T107" s="4"/>
      <c r="U107" s="4"/>
    </row>
    <row r="108" spans="2:21" x14ac:dyDescent="0.2">
      <c r="C108" s="3" t="s">
        <v>10</v>
      </c>
      <c r="D108" s="3"/>
      <c r="E108" s="4">
        <v>953</v>
      </c>
      <c r="F108" s="4">
        <v>986</v>
      </c>
      <c r="G108" s="4">
        <v>1011</v>
      </c>
      <c r="H108" s="4">
        <v>1026</v>
      </c>
      <c r="I108" s="4">
        <v>1041</v>
      </c>
      <c r="J108" s="4">
        <v>1050</v>
      </c>
      <c r="K108" s="4">
        <v>1064</v>
      </c>
      <c r="L108" s="4">
        <v>1070</v>
      </c>
      <c r="M108" s="4"/>
      <c r="N108" s="4"/>
      <c r="O108" s="4"/>
      <c r="P108" s="4"/>
      <c r="Q108" s="4"/>
      <c r="R108" s="4"/>
      <c r="S108" s="4"/>
      <c r="T108" s="4"/>
      <c r="U108" s="4"/>
    </row>
    <row r="109" spans="2:21" x14ac:dyDescent="0.2">
      <c r="B109" s="3" t="s">
        <v>30</v>
      </c>
      <c r="C109" s="3" t="s">
        <v>4</v>
      </c>
      <c r="D109" s="3"/>
      <c r="E109" s="4">
        <v>7</v>
      </c>
      <c r="F109" s="4">
        <v>7</v>
      </c>
      <c r="G109" s="4">
        <v>7</v>
      </c>
      <c r="H109" s="4">
        <v>7</v>
      </c>
      <c r="I109" s="4">
        <v>7</v>
      </c>
      <c r="J109" s="4">
        <v>7</v>
      </c>
      <c r="K109" s="4">
        <v>7</v>
      </c>
      <c r="L109" s="4">
        <v>7</v>
      </c>
      <c r="M109" s="4"/>
      <c r="N109" s="4"/>
      <c r="O109" s="4"/>
      <c r="P109" s="4"/>
      <c r="Q109" s="4"/>
      <c r="R109" s="4"/>
      <c r="S109" s="4"/>
      <c r="T109" s="4"/>
      <c r="U109" s="4"/>
    </row>
    <row r="110" spans="2:21" x14ac:dyDescent="0.2">
      <c r="C110" s="3" t="s">
        <v>5</v>
      </c>
      <c r="D110" s="3"/>
      <c r="E110" s="4">
        <v>25</v>
      </c>
      <c r="F110" s="4">
        <v>26</v>
      </c>
      <c r="G110" s="4">
        <v>25</v>
      </c>
      <c r="H110" s="4">
        <v>25</v>
      </c>
      <c r="I110" s="4">
        <v>25</v>
      </c>
      <c r="J110" s="4">
        <v>24</v>
      </c>
      <c r="K110" s="4">
        <v>24</v>
      </c>
      <c r="L110" s="4">
        <v>24</v>
      </c>
      <c r="M110" s="4"/>
      <c r="N110" s="4"/>
      <c r="O110" s="4"/>
      <c r="P110" s="4"/>
      <c r="Q110" s="4"/>
      <c r="R110" s="4"/>
      <c r="S110" s="4"/>
      <c r="T110" s="4"/>
      <c r="U110" s="4"/>
    </row>
    <row r="111" spans="2:21" x14ac:dyDescent="0.2">
      <c r="C111" s="3" t="s">
        <v>6</v>
      </c>
      <c r="D111" s="3"/>
      <c r="E111" s="4">
        <v>327</v>
      </c>
      <c r="F111" s="4">
        <v>326</v>
      </c>
      <c r="G111" s="4">
        <v>333</v>
      </c>
      <c r="H111" s="4">
        <v>335</v>
      </c>
      <c r="I111" s="4">
        <v>335</v>
      </c>
      <c r="J111" s="4">
        <v>335</v>
      </c>
      <c r="K111" s="4">
        <v>336</v>
      </c>
      <c r="L111" s="4">
        <v>333</v>
      </c>
      <c r="M111" s="4"/>
      <c r="N111" s="4"/>
      <c r="O111" s="4"/>
      <c r="P111" s="4"/>
      <c r="Q111" s="4"/>
      <c r="R111" s="4"/>
      <c r="S111" s="4"/>
      <c r="T111" s="4"/>
      <c r="U111" s="4"/>
    </row>
    <row r="112" spans="2:21" x14ac:dyDescent="0.2">
      <c r="C112" s="3" t="s">
        <v>7</v>
      </c>
      <c r="D112" s="3"/>
      <c r="E112" s="4">
        <v>567</v>
      </c>
      <c r="F112" s="4">
        <v>569</v>
      </c>
      <c r="G112" s="4">
        <v>571</v>
      </c>
      <c r="H112" s="4">
        <v>570</v>
      </c>
      <c r="I112" s="4">
        <v>569</v>
      </c>
      <c r="J112" s="4">
        <v>570</v>
      </c>
      <c r="K112" s="4">
        <v>566</v>
      </c>
      <c r="L112" s="4">
        <v>568</v>
      </c>
      <c r="M112" s="4"/>
      <c r="N112" s="4"/>
      <c r="O112" s="4"/>
      <c r="P112" s="4"/>
      <c r="Q112" s="4"/>
      <c r="R112" s="4"/>
      <c r="S112" s="4"/>
      <c r="T112" s="4"/>
      <c r="U112" s="4"/>
    </row>
    <row r="113" spans="2:21" x14ac:dyDescent="0.2">
      <c r="C113" s="3" t="s">
        <v>8</v>
      </c>
      <c r="D113" s="3"/>
      <c r="E113" s="4">
        <v>830</v>
      </c>
      <c r="F113" s="4">
        <v>831</v>
      </c>
      <c r="G113" s="4">
        <v>832</v>
      </c>
      <c r="H113" s="4">
        <v>833</v>
      </c>
      <c r="I113" s="4">
        <v>843</v>
      </c>
      <c r="J113" s="4">
        <v>848</v>
      </c>
      <c r="K113" s="4">
        <v>848</v>
      </c>
      <c r="L113" s="4">
        <v>849</v>
      </c>
      <c r="M113" s="4"/>
      <c r="N113" s="4"/>
      <c r="O113" s="4"/>
      <c r="P113" s="4"/>
      <c r="Q113" s="4"/>
      <c r="R113" s="4"/>
      <c r="S113" s="4"/>
      <c r="T113" s="4"/>
      <c r="U113" s="4"/>
    </row>
    <row r="114" spans="2:21" x14ac:dyDescent="0.2">
      <c r="C114" s="3" t="s">
        <v>9</v>
      </c>
      <c r="D114" s="3"/>
      <c r="E114" s="4">
        <v>729</v>
      </c>
      <c r="F114" s="4">
        <v>731</v>
      </c>
      <c r="G114" s="4">
        <v>733</v>
      </c>
      <c r="H114" s="4">
        <v>736</v>
      </c>
      <c r="I114" s="4">
        <v>736</v>
      </c>
      <c r="J114" s="4">
        <v>735</v>
      </c>
      <c r="K114" s="4">
        <v>736</v>
      </c>
      <c r="L114" s="4">
        <v>736</v>
      </c>
      <c r="M114" s="4"/>
      <c r="N114" s="4"/>
      <c r="O114" s="4"/>
      <c r="P114" s="4"/>
      <c r="Q114" s="4"/>
      <c r="R114" s="4"/>
      <c r="S114" s="4"/>
      <c r="T114" s="4"/>
      <c r="U114" s="4"/>
    </row>
    <row r="115" spans="2:21" x14ac:dyDescent="0.2">
      <c r="C115" s="3" t="s">
        <v>10</v>
      </c>
      <c r="D115" s="3"/>
      <c r="E115" s="4">
        <v>225</v>
      </c>
      <c r="F115" s="4">
        <v>227</v>
      </c>
      <c r="G115" s="4">
        <v>232</v>
      </c>
      <c r="H115" s="4">
        <v>232</v>
      </c>
      <c r="I115" s="4">
        <v>232</v>
      </c>
      <c r="J115" s="4">
        <v>231</v>
      </c>
      <c r="K115" s="4">
        <v>231</v>
      </c>
      <c r="L115" s="4">
        <v>231</v>
      </c>
      <c r="M115" s="4"/>
      <c r="N115" s="4"/>
      <c r="O115" s="4"/>
      <c r="P115" s="4"/>
      <c r="Q115" s="4"/>
      <c r="R115" s="4"/>
      <c r="S115" s="4"/>
      <c r="T115" s="4"/>
      <c r="U115" s="4"/>
    </row>
    <row r="116" spans="2:21" x14ac:dyDescent="0.2">
      <c r="B116" s="3" t="s">
        <v>11</v>
      </c>
      <c r="C116" s="3" t="s">
        <v>4</v>
      </c>
      <c r="D116" s="3"/>
      <c r="E116" s="4">
        <v>1</v>
      </c>
      <c r="F116" s="4">
        <v>1</v>
      </c>
      <c r="G116" s="4">
        <v>1</v>
      </c>
      <c r="H116" s="4">
        <v>1</v>
      </c>
      <c r="I116" s="4">
        <v>1</v>
      </c>
      <c r="J116" s="4">
        <v>1</v>
      </c>
      <c r="K116" s="4">
        <v>1</v>
      </c>
      <c r="L116" s="4">
        <v>1</v>
      </c>
      <c r="M116" s="4"/>
      <c r="N116" s="4"/>
      <c r="O116" s="4"/>
      <c r="P116" s="4"/>
      <c r="Q116" s="4"/>
      <c r="R116" s="4"/>
      <c r="S116" s="4"/>
      <c r="T116" s="4"/>
      <c r="U116" s="4"/>
    </row>
    <row r="117" spans="2:21" x14ac:dyDescent="0.2">
      <c r="C117" s="3" t="s">
        <v>5</v>
      </c>
      <c r="D117" s="3"/>
      <c r="E117" s="4">
        <v>12</v>
      </c>
      <c r="F117" s="4">
        <v>12</v>
      </c>
      <c r="G117" s="4">
        <v>14</v>
      </c>
      <c r="H117" s="4">
        <v>13</v>
      </c>
      <c r="I117" s="4">
        <v>13</v>
      </c>
      <c r="J117" s="4">
        <v>13</v>
      </c>
      <c r="K117" s="4">
        <v>12</v>
      </c>
      <c r="L117" s="4">
        <v>12</v>
      </c>
      <c r="M117" s="4"/>
      <c r="N117" s="4"/>
      <c r="O117" s="4"/>
      <c r="P117" s="4"/>
      <c r="Q117" s="4"/>
      <c r="R117" s="4"/>
      <c r="S117" s="4"/>
      <c r="T117" s="4"/>
      <c r="U117" s="4"/>
    </row>
    <row r="118" spans="2:21" x14ac:dyDescent="0.2">
      <c r="C118" s="3" t="s">
        <v>6</v>
      </c>
      <c r="D118" s="3"/>
      <c r="E118" s="4">
        <v>55</v>
      </c>
      <c r="F118" s="4">
        <v>55</v>
      </c>
      <c r="G118" s="4">
        <v>57</v>
      </c>
      <c r="H118" s="4">
        <v>58</v>
      </c>
      <c r="I118" s="4">
        <v>59</v>
      </c>
      <c r="J118" s="4">
        <v>58</v>
      </c>
      <c r="K118" s="4">
        <v>55</v>
      </c>
      <c r="L118" s="4">
        <v>53</v>
      </c>
      <c r="M118" s="4"/>
      <c r="N118" s="4"/>
      <c r="O118" s="4"/>
      <c r="P118" s="4"/>
      <c r="Q118" s="4"/>
      <c r="R118" s="4"/>
      <c r="S118" s="4"/>
      <c r="T118" s="4"/>
      <c r="U118" s="4"/>
    </row>
    <row r="119" spans="2:21" x14ac:dyDescent="0.2">
      <c r="C119" s="3" t="s">
        <v>7</v>
      </c>
      <c r="D119" s="3"/>
      <c r="E119" s="4">
        <v>36</v>
      </c>
      <c r="F119" s="4">
        <v>36</v>
      </c>
      <c r="G119" s="4">
        <v>36</v>
      </c>
      <c r="H119" s="4">
        <v>22</v>
      </c>
      <c r="I119" s="4">
        <v>21</v>
      </c>
      <c r="J119" s="4">
        <v>21</v>
      </c>
      <c r="K119" s="4">
        <v>21</v>
      </c>
      <c r="L119" s="4">
        <v>22</v>
      </c>
      <c r="M119" s="4"/>
      <c r="N119" s="4"/>
      <c r="O119" s="4"/>
      <c r="P119" s="4"/>
      <c r="Q119" s="4"/>
      <c r="R119" s="4"/>
      <c r="S119" s="4"/>
      <c r="T119" s="4"/>
      <c r="U119" s="4"/>
    </row>
    <row r="120" spans="2:21" x14ac:dyDescent="0.2">
      <c r="C120" s="3" t="s">
        <v>8</v>
      </c>
      <c r="D120" s="3"/>
      <c r="E120" s="4">
        <v>31</v>
      </c>
      <c r="F120" s="4">
        <v>31</v>
      </c>
      <c r="G120" s="4">
        <v>31</v>
      </c>
      <c r="H120" s="4">
        <v>31</v>
      </c>
      <c r="I120" s="4">
        <v>31</v>
      </c>
      <c r="J120" s="4">
        <v>32</v>
      </c>
      <c r="K120" s="4">
        <v>32</v>
      </c>
      <c r="L120" s="4">
        <v>32</v>
      </c>
      <c r="M120" s="4"/>
      <c r="N120" s="4"/>
      <c r="O120" s="4"/>
      <c r="P120" s="4"/>
      <c r="Q120" s="4"/>
      <c r="R120" s="4"/>
      <c r="S120" s="4"/>
      <c r="T120" s="4"/>
      <c r="U120" s="4"/>
    </row>
    <row r="121" spans="2:21" x14ac:dyDescent="0.2">
      <c r="C121" s="3" t="s">
        <v>9</v>
      </c>
      <c r="D121" s="3"/>
      <c r="E121" s="4">
        <v>12</v>
      </c>
      <c r="F121" s="4">
        <v>12</v>
      </c>
      <c r="G121" s="4">
        <v>12</v>
      </c>
      <c r="H121" s="4">
        <v>12</v>
      </c>
      <c r="I121" s="4">
        <v>12</v>
      </c>
      <c r="J121" s="4">
        <v>13</v>
      </c>
      <c r="K121" s="4">
        <v>12</v>
      </c>
      <c r="L121" s="4">
        <v>12</v>
      </c>
      <c r="M121" s="4"/>
      <c r="N121" s="4"/>
      <c r="O121" s="4"/>
      <c r="P121" s="4"/>
      <c r="Q121" s="4"/>
      <c r="R121" s="4"/>
      <c r="S121" s="4"/>
      <c r="T121" s="4"/>
      <c r="U121" s="4"/>
    </row>
    <row r="122" spans="2:21" x14ac:dyDescent="0.2">
      <c r="C122" s="3" t="s">
        <v>10</v>
      </c>
      <c r="D122" s="3"/>
      <c r="E122" s="4">
        <v>1</v>
      </c>
      <c r="F122" s="4">
        <v>1</v>
      </c>
      <c r="G122" s="4">
        <v>1</v>
      </c>
      <c r="H122" s="4">
        <v>1</v>
      </c>
      <c r="I122" s="4">
        <v>1</v>
      </c>
      <c r="J122" s="4">
        <v>1</v>
      </c>
      <c r="K122" s="4">
        <v>1</v>
      </c>
      <c r="L122" s="4">
        <v>1</v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2:21" x14ac:dyDescent="0.2">
      <c r="B123" s="3" t="s">
        <v>12</v>
      </c>
      <c r="C123" s="3" t="s">
        <v>4</v>
      </c>
      <c r="D123" s="3"/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/>
      <c r="N123" s="4"/>
      <c r="O123" s="4"/>
      <c r="P123" s="4"/>
      <c r="Q123" s="4"/>
      <c r="R123" s="4"/>
      <c r="S123" s="4"/>
      <c r="T123" s="4"/>
      <c r="U123" s="4"/>
    </row>
    <row r="124" spans="2:21" x14ac:dyDescent="0.2">
      <c r="C124" s="3" t="s">
        <v>5</v>
      </c>
      <c r="D124" s="3"/>
      <c r="E124" s="4">
        <v>21</v>
      </c>
      <c r="F124" s="4">
        <v>20</v>
      </c>
      <c r="G124" s="4">
        <v>20</v>
      </c>
      <c r="H124" s="4">
        <v>20</v>
      </c>
      <c r="I124" s="4">
        <v>22</v>
      </c>
      <c r="J124" s="4">
        <v>24</v>
      </c>
      <c r="K124" s="4">
        <v>24</v>
      </c>
      <c r="L124" s="4">
        <v>24</v>
      </c>
      <c r="M124" s="4"/>
      <c r="N124" s="4"/>
      <c r="O124" s="4"/>
      <c r="P124" s="4"/>
      <c r="Q124" s="4"/>
      <c r="R124" s="4"/>
      <c r="S124" s="4"/>
      <c r="T124" s="4"/>
      <c r="U124" s="4"/>
    </row>
    <row r="125" spans="2:21" x14ac:dyDescent="0.2">
      <c r="C125" s="3" t="s">
        <v>6</v>
      </c>
      <c r="D125" s="3"/>
      <c r="E125" s="4">
        <v>85</v>
      </c>
      <c r="F125" s="4">
        <v>85</v>
      </c>
      <c r="G125" s="4">
        <v>86</v>
      </c>
      <c r="H125" s="4">
        <v>86</v>
      </c>
      <c r="I125" s="4">
        <v>87</v>
      </c>
      <c r="J125" s="4">
        <v>88</v>
      </c>
      <c r="K125" s="4">
        <v>88</v>
      </c>
      <c r="L125" s="4">
        <v>86</v>
      </c>
      <c r="M125" s="4"/>
      <c r="N125" s="4"/>
      <c r="O125" s="4"/>
      <c r="P125" s="4"/>
      <c r="Q125" s="4"/>
      <c r="R125" s="4"/>
      <c r="S125" s="4"/>
      <c r="T125" s="4"/>
      <c r="U125" s="4"/>
    </row>
    <row r="126" spans="2:21" x14ac:dyDescent="0.2">
      <c r="C126" s="3" t="s">
        <v>7</v>
      </c>
      <c r="D126" s="3"/>
      <c r="E126" s="4">
        <v>64</v>
      </c>
      <c r="F126" s="4">
        <v>64</v>
      </c>
      <c r="G126" s="4">
        <v>64</v>
      </c>
      <c r="H126" s="4">
        <v>65</v>
      </c>
      <c r="I126" s="4">
        <v>65</v>
      </c>
      <c r="J126" s="4">
        <v>65</v>
      </c>
      <c r="K126" s="4">
        <v>65</v>
      </c>
      <c r="L126" s="4">
        <v>65</v>
      </c>
      <c r="M126" s="4"/>
      <c r="N126" s="4"/>
      <c r="O126" s="4"/>
      <c r="P126" s="4"/>
      <c r="Q126" s="4"/>
      <c r="R126" s="4"/>
      <c r="S126" s="4"/>
      <c r="T126" s="4"/>
      <c r="U126" s="4"/>
    </row>
    <row r="127" spans="2:21" x14ac:dyDescent="0.2">
      <c r="C127" s="3" t="s">
        <v>8</v>
      </c>
      <c r="D127" s="3"/>
      <c r="E127" s="4">
        <v>150</v>
      </c>
      <c r="F127" s="4">
        <v>151</v>
      </c>
      <c r="G127" s="4">
        <v>149</v>
      </c>
      <c r="H127" s="4">
        <v>150</v>
      </c>
      <c r="I127" s="4">
        <v>150</v>
      </c>
      <c r="J127" s="4">
        <v>151</v>
      </c>
      <c r="K127" s="4">
        <v>152</v>
      </c>
      <c r="L127" s="4">
        <v>152</v>
      </c>
      <c r="M127" s="4"/>
      <c r="N127" s="4"/>
      <c r="O127" s="4"/>
      <c r="P127" s="4"/>
      <c r="Q127" s="4"/>
      <c r="R127" s="4"/>
      <c r="S127" s="4"/>
      <c r="T127" s="4"/>
      <c r="U127" s="4"/>
    </row>
    <row r="128" spans="2:21" x14ac:dyDescent="0.2">
      <c r="C128" s="3" t="s">
        <v>9</v>
      </c>
      <c r="D128" s="3"/>
      <c r="E128" s="4">
        <v>160</v>
      </c>
      <c r="F128" s="4">
        <v>160</v>
      </c>
      <c r="G128" s="4">
        <v>162</v>
      </c>
      <c r="H128" s="4">
        <v>161</v>
      </c>
      <c r="I128" s="4">
        <v>161</v>
      </c>
      <c r="J128" s="4">
        <v>161</v>
      </c>
      <c r="K128" s="4">
        <v>161</v>
      </c>
      <c r="L128" s="4">
        <v>160</v>
      </c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2">
      <c r="C129" s="3" t="s">
        <v>10</v>
      </c>
      <c r="D129" s="3"/>
      <c r="E129" s="4">
        <v>21</v>
      </c>
      <c r="F129" s="4">
        <v>21</v>
      </c>
      <c r="G129" s="4">
        <v>22</v>
      </c>
      <c r="H129" s="4">
        <v>22</v>
      </c>
      <c r="I129" s="4">
        <v>22</v>
      </c>
      <c r="J129" s="4">
        <v>22</v>
      </c>
      <c r="K129" s="4">
        <v>22</v>
      </c>
      <c r="L129" s="4">
        <v>22</v>
      </c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2">
      <c r="A130" s="3" t="s">
        <v>15</v>
      </c>
      <c r="B130" s="3" t="s">
        <v>3</v>
      </c>
      <c r="C130" s="3" t="s">
        <v>4</v>
      </c>
      <c r="D130" s="3"/>
      <c r="E130" s="4">
        <v>2841</v>
      </c>
      <c r="F130" s="4">
        <v>2892</v>
      </c>
      <c r="G130" s="4">
        <v>2996</v>
      </c>
      <c r="H130" s="4">
        <v>3110</v>
      </c>
      <c r="I130" s="4">
        <v>2886</v>
      </c>
      <c r="J130" s="4">
        <v>2849</v>
      </c>
      <c r="K130" s="4">
        <v>2855</v>
      </c>
      <c r="L130" s="4">
        <v>2798</v>
      </c>
      <c r="M130" s="4"/>
      <c r="N130" s="4"/>
      <c r="O130" s="4"/>
      <c r="P130" s="4"/>
      <c r="Q130" s="4"/>
      <c r="R130" s="4"/>
      <c r="S130" s="4"/>
      <c r="T130" s="4"/>
      <c r="U130" s="4"/>
    </row>
    <row r="131" spans="1:21" x14ac:dyDescent="0.2">
      <c r="C131" s="3" t="s">
        <v>5</v>
      </c>
      <c r="D131" s="3"/>
      <c r="E131" s="4">
        <v>1846</v>
      </c>
      <c r="F131" s="4">
        <v>1867</v>
      </c>
      <c r="G131" s="4">
        <v>1879</v>
      </c>
      <c r="H131" s="4">
        <v>1915</v>
      </c>
      <c r="I131" s="4">
        <v>1696</v>
      </c>
      <c r="J131" s="4">
        <v>1604</v>
      </c>
      <c r="K131" s="4">
        <v>1584</v>
      </c>
      <c r="L131" s="4">
        <v>1531</v>
      </c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2">
      <c r="C132" s="3" t="s">
        <v>6</v>
      </c>
      <c r="D132" s="3"/>
      <c r="E132" s="4">
        <v>1421</v>
      </c>
      <c r="F132" s="4">
        <v>1431</v>
      </c>
      <c r="G132" s="4">
        <v>1361</v>
      </c>
      <c r="H132" s="4">
        <v>1302</v>
      </c>
      <c r="I132" s="4">
        <v>1099</v>
      </c>
      <c r="J132" s="4">
        <v>1005</v>
      </c>
      <c r="K132" s="4">
        <v>946</v>
      </c>
      <c r="L132" s="4">
        <v>893</v>
      </c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2">
      <c r="C133" s="3" t="s">
        <v>7</v>
      </c>
      <c r="D133" s="3"/>
      <c r="E133" s="4">
        <v>287</v>
      </c>
      <c r="F133" s="4">
        <v>279</v>
      </c>
      <c r="G133" s="4">
        <v>246</v>
      </c>
      <c r="H133" s="4">
        <v>228</v>
      </c>
      <c r="I133" s="4">
        <v>162</v>
      </c>
      <c r="J133" s="4">
        <v>160</v>
      </c>
      <c r="K133" s="4">
        <v>152</v>
      </c>
      <c r="L133" s="4">
        <v>146</v>
      </c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2">
      <c r="C134" s="3" t="s">
        <v>8</v>
      </c>
      <c r="D134" s="3"/>
      <c r="E134" s="4">
        <v>54</v>
      </c>
      <c r="F134" s="4">
        <v>48</v>
      </c>
      <c r="G134" s="4">
        <v>42</v>
      </c>
      <c r="H134" s="4">
        <v>40</v>
      </c>
      <c r="I134" s="4">
        <v>34</v>
      </c>
      <c r="J134" s="4">
        <v>30</v>
      </c>
      <c r="K134" s="4">
        <v>27</v>
      </c>
      <c r="L134" s="4">
        <v>25</v>
      </c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2">
      <c r="C135" s="3" t="s">
        <v>9</v>
      </c>
      <c r="D135" s="3"/>
      <c r="E135" s="4">
        <v>21</v>
      </c>
      <c r="F135" s="4">
        <v>24</v>
      </c>
      <c r="G135" s="4">
        <v>23</v>
      </c>
      <c r="H135" s="4">
        <v>23</v>
      </c>
      <c r="I135" s="4">
        <v>19</v>
      </c>
      <c r="J135" s="4">
        <v>21</v>
      </c>
      <c r="K135" s="4">
        <v>21</v>
      </c>
      <c r="L135" s="4">
        <v>21</v>
      </c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2">
      <c r="C136" s="3" t="s">
        <v>10</v>
      </c>
      <c r="D136" s="3"/>
      <c r="E136" s="4">
        <v>8</v>
      </c>
      <c r="F136" s="4">
        <v>7</v>
      </c>
      <c r="G136" s="4">
        <v>7</v>
      </c>
      <c r="H136" s="4">
        <v>6</v>
      </c>
      <c r="I136" s="4">
        <v>6</v>
      </c>
      <c r="J136" s="4">
        <v>4</v>
      </c>
      <c r="K136" s="4">
        <v>4</v>
      </c>
      <c r="L136" s="4">
        <v>3</v>
      </c>
      <c r="M136" s="4"/>
      <c r="N136" s="4"/>
      <c r="O136" s="4"/>
      <c r="P136" s="4"/>
      <c r="Q136" s="4"/>
      <c r="R136" s="4"/>
      <c r="S136" s="4"/>
      <c r="T136" s="4"/>
      <c r="U136" s="4"/>
    </row>
    <row r="137" spans="1:21" x14ac:dyDescent="0.2">
      <c r="B137" s="3" t="s">
        <v>19</v>
      </c>
      <c r="C137" s="3" t="s">
        <v>4</v>
      </c>
      <c r="D137" s="3"/>
      <c r="E137" s="4">
        <v>532</v>
      </c>
      <c r="F137" s="4">
        <v>532</v>
      </c>
      <c r="G137" s="4">
        <v>552</v>
      </c>
      <c r="H137" s="4">
        <v>566</v>
      </c>
      <c r="I137" s="4">
        <v>481</v>
      </c>
      <c r="J137" s="4">
        <v>468</v>
      </c>
      <c r="K137" s="4">
        <v>472</v>
      </c>
      <c r="L137" s="4">
        <v>481</v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2">
      <c r="C138" s="3" t="s">
        <v>5</v>
      </c>
      <c r="D138" s="3"/>
      <c r="E138" s="4">
        <v>212</v>
      </c>
      <c r="F138" s="4">
        <v>198</v>
      </c>
      <c r="G138" s="4">
        <v>200</v>
      </c>
      <c r="H138" s="4">
        <v>203</v>
      </c>
      <c r="I138" s="4">
        <v>174</v>
      </c>
      <c r="J138" s="4">
        <v>163</v>
      </c>
      <c r="K138" s="4">
        <v>156</v>
      </c>
      <c r="L138" s="4">
        <v>151</v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2">
      <c r="C139" s="3" t="s">
        <v>6</v>
      </c>
      <c r="D139" s="3"/>
      <c r="E139" s="4">
        <v>150</v>
      </c>
      <c r="F139" s="4">
        <v>152</v>
      </c>
      <c r="G139" s="4">
        <v>148</v>
      </c>
      <c r="H139" s="4">
        <v>152</v>
      </c>
      <c r="I139" s="4">
        <v>126</v>
      </c>
      <c r="J139" s="4">
        <v>108</v>
      </c>
      <c r="K139" s="4">
        <v>96</v>
      </c>
      <c r="L139" s="4">
        <v>93</v>
      </c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2">
      <c r="C140" s="3" t="s">
        <v>7</v>
      </c>
      <c r="D140" s="3"/>
      <c r="E140" s="4">
        <v>32</v>
      </c>
      <c r="F140" s="4">
        <v>34</v>
      </c>
      <c r="G140" s="4">
        <v>33</v>
      </c>
      <c r="H140" s="4">
        <v>32</v>
      </c>
      <c r="I140" s="4">
        <v>24</v>
      </c>
      <c r="J140" s="4">
        <v>25</v>
      </c>
      <c r="K140" s="4">
        <v>19</v>
      </c>
      <c r="L140" s="4">
        <v>25</v>
      </c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2">
      <c r="C141" s="3" t="s">
        <v>8</v>
      </c>
      <c r="D141" s="3"/>
      <c r="E141" s="4">
        <v>4</v>
      </c>
      <c r="F141" s="4">
        <v>4</v>
      </c>
      <c r="G141" s="4">
        <v>4</v>
      </c>
      <c r="H141" s="4">
        <v>4</v>
      </c>
      <c r="I141" s="4">
        <v>4</v>
      </c>
      <c r="J141" s="4">
        <v>3</v>
      </c>
      <c r="K141" s="4">
        <v>1</v>
      </c>
      <c r="L141" s="4">
        <v>1</v>
      </c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2">
      <c r="C142" s="3" t="s">
        <v>9</v>
      </c>
      <c r="D142" s="3"/>
      <c r="E142" s="4">
        <v>3</v>
      </c>
      <c r="F142" s="4">
        <v>3</v>
      </c>
      <c r="G142" s="4">
        <v>3</v>
      </c>
      <c r="H142" s="4">
        <v>2</v>
      </c>
      <c r="I142" s="4">
        <v>1</v>
      </c>
      <c r="J142" s="4">
        <v>2</v>
      </c>
      <c r="K142" s="4">
        <v>2</v>
      </c>
      <c r="L142" s="4">
        <v>2</v>
      </c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2">
      <c r="C143" s="3" t="s">
        <v>10</v>
      </c>
      <c r="D143" s="3"/>
      <c r="E143" s="4">
        <v>3</v>
      </c>
      <c r="F143" s="4">
        <v>3</v>
      </c>
      <c r="G143" s="4">
        <v>3</v>
      </c>
      <c r="H143" s="4">
        <v>2</v>
      </c>
      <c r="I143" s="4">
        <v>2</v>
      </c>
      <c r="J143" s="4">
        <v>2</v>
      </c>
      <c r="K143" s="4">
        <v>2</v>
      </c>
      <c r="L143" s="4">
        <v>2</v>
      </c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2">
      <c r="B144" s="3" t="s">
        <v>29</v>
      </c>
      <c r="C144" s="3" t="s">
        <v>4</v>
      </c>
      <c r="D144" s="3"/>
      <c r="E144" s="4">
        <v>23</v>
      </c>
      <c r="F144" s="4">
        <v>24</v>
      </c>
      <c r="G144" s="4">
        <v>24</v>
      </c>
      <c r="H144" s="4">
        <v>24</v>
      </c>
      <c r="I144" s="4">
        <v>24</v>
      </c>
      <c r="J144" s="4">
        <v>24</v>
      </c>
      <c r="K144" s="4">
        <v>24</v>
      </c>
      <c r="L144" s="4">
        <v>24</v>
      </c>
      <c r="M144" s="4"/>
      <c r="N144" s="4"/>
      <c r="O144" s="4"/>
      <c r="P144" s="4"/>
      <c r="Q144" s="4"/>
      <c r="R144" s="4"/>
      <c r="S144" s="4"/>
      <c r="T144" s="4"/>
      <c r="U144" s="4"/>
    </row>
    <row r="145" spans="2:21" x14ac:dyDescent="0.2">
      <c r="C145" s="3" t="s">
        <v>5</v>
      </c>
      <c r="D145" s="3"/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/>
      <c r="N145" s="4"/>
      <c r="O145" s="4"/>
      <c r="P145" s="4"/>
      <c r="Q145" s="4"/>
      <c r="R145" s="4"/>
      <c r="S145" s="4"/>
      <c r="T145" s="4"/>
      <c r="U145" s="4"/>
    </row>
    <row r="146" spans="2:21" x14ac:dyDescent="0.2">
      <c r="C146" s="3" t="s">
        <v>6</v>
      </c>
      <c r="D146" s="3"/>
      <c r="E146" s="4">
        <v>2</v>
      </c>
      <c r="F146" s="4">
        <v>3</v>
      </c>
      <c r="G146" s="4">
        <v>3</v>
      </c>
      <c r="H146" s="4">
        <v>3</v>
      </c>
      <c r="I146" s="4">
        <v>3</v>
      </c>
      <c r="J146" s="4">
        <v>3</v>
      </c>
      <c r="K146" s="4">
        <v>3</v>
      </c>
      <c r="L146" s="4">
        <v>3</v>
      </c>
      <c r="M146" s="4"/>
      <c r="N146" s="4"/>
      <c r="O146" s="4"/>
      <c r="P146" s="4"/>
      <c r="Q146" s="4"/>
      <c r="R146" s="4"/>
      <c r="S146" s="4"/>
      <c r="T146" s="4"/>
      <c r="U146" s="4"/>
    </row>
    <row r="147" spans="2:21" x14ac:dyDescent="0.2">
      <c r="C147" s="3" t="s">
        <v>7</v>
      </c>
      <c r="D147" s="3"/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1</v>
      </c>
      <c r="L147" s="4">
        <v>7</v>
      </c>
      <c r="M147" s="4"/>
      <c r="N147" s="4"/>
      <c r="O147" s="4"/>
      <c r="P147" s="4"/>
      <c r="Q147" s="4"/>
      <c r="R147" s="4"/>
      <c r="S147" s="4"/>
      <c r="T147" s="4"/>
      <c r="U147" s="4"/>
    </row>
    <row r="148" spans="2:21" x14ac:dyDescent="0.2">
      <c r="C148" s="3" t="s">
        <v>8</v>
      </c>
      <c r="D148" s="3"/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/>
      <c r="N148" s="4"/>
      <c r="O148" s="4"/>
      <c r="P148" s="4"/>
      <c r="Q148" s="4"/>
      <c r="R148" s="4"/>
      <c r="S148" s="4"/>
      <c r="T148" s="4"/>
      <c r="U148" s="4"/>
    </row>
    <row r="149" spans="2:21" x14ac:dyDescent="0.2">
      <c r="C149" s="3" t="s">
        <v>9</v>
      </c>
      <c r="D149" s="3"/>
      <c r="E149" s="4">
        <v>1</v>
      </c>
      <c r="F149" s="4">
        <v>1</v>
      </c>
      <c r="G149" s="4">
        <v>1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/>
      <c r="N149" s="4"/>
      <c r="O149" s="4"/>
      <c r="P149" s="4"/>
      <c r="Q149" s="4"/>
      <c r="R149" s="4"/>
      <c r="S149" s="4"/>
      <c r="T149" s="4"/>
      <c r="U149" s="4"/>
    </row>
    <row r="150" spans="2:21" x14ac:dyDescent="0.2">
      <c r="C150" s="3" t="s">
        <v>10</v>
      </c>
      <c r="D150" s="3"/>
      <c r="E150" s="4">
        <v>1</v>
      </c>
      <c r="F150" s="4">
        <v>1</v>
      </c>
      <c r="G150" s="4">
        <v>1</v>
      </c>
      <c r="H150" s="4">
        <v>1</v>
      </c>
      <c r="I150" s="4">
        <v>1</v>
      </c>
      <c r="J150" s="4">
        <v>1</v>
      </c>
      <c r="K150" s="4">
        <v>1</v>
      </c>
      <c r="L150" s="4">
        <v>1</v>
      </c>
      <c r="M150" s="4"/>
      <c r="N150" s="4"/>
      <c r="O150" s="4"/>
      <c r="P150" s="4"/>
      <c r="Q150" s="4"/>
      <c r="R150" s="4"/>
      <c r="S150" s="4"/>
      <c r="T150" s="4"/>
      <c r="U150" s="4"/>
    </row>
    <row r="151" spans="2:21" x14ac:dyDescent="0.2">
      <c r="B151" s="3" t="s">
        <v>30</v>
      </c>
      <c r="C151" s="3" t="s">
        <v>4</v>
      </c>
      <c r="D151" s="3"/>
      <c r="E151" s="4">
        <v>0</v>
      </c>
      <c r="F151" s="4">
        <v>0</v>
      </c>
      <c r="G151" s="4">
        <v>0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/>
      <c r="N151" s="4"/>
      <c r="O151" s="4"/>
      <c r="P151" s="4"/>
      <c r="Q151" s="4"/>
      <c r="R151" s="4"/>
      <c r="S151" s="4"/>
      <c r="T151" s="4"/>
      <c r="U151" s="4"/>
    </row>
    <row r="152" spans="2:21" x14ac:dyDescent="0.2">
      <c r="C152" s="3" t="s">
        <v>5</v>
      </c>
      <c r="D152" s="3"/>
      <c r="E152" s="4">
        <v>0</v>
      </c>
      <c r="F152" s="4">
        <v>0</v>
      </c>
      <c r="G152" s="4">
        <v>1</v>
      </c>
      <c r="H152" s="4">
        <v>1</v>
      </c>
      <c r="I152" s="4">
        <v>1</v>
      </c>
      <c r="J152" s="4">
        <v>1</v>
      </c>
      <c r="K152" s="4">
        <v>1</v>
      </c>
      <c r="L152" s="4">
        <v>1</v>
      </c>
      <c r="M152" s="4"/>
      <c r="N152" s="4"/>
      <c r="O152" s="4"/>
      <c r="P152" s="4"/>
      <c r="Q152" s="4"/>
      <c r="R152" s="4"/>
      <c r="S152" s="4"/>
      <c r="T152" s="4"/>
      <c r="U152" s="4"/>
    </row>
    <row r="153" spans="2:21" x14ac:dyDescent="0.2">
      <c r="C153" s="3" t="s">
        <v>6</v>
      </c>
      <c r="D153" s="3"/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/>
      <c r="N153" s="4"/>
      <c r="O153" s="4"/>
      <c r="P153" s="4"/>
      <c r="Q153" s="4"/>
      <c r="R153" s="4"/>
      <c r="S153" s="4"/>
      <c r="T153" s="4"/>
      <c r="U153" s="4"/>
    </row>
    <row r="154" spans="2:21" x14ac:dyDescent="0.2">
      <c r="C154" s="3" t="s">
        <v>7</v>
      </c>
      <c r="D154" s="3"/>
      <c r="E154" s="4">
        <v>2</v>
      </c>
      <c r="F154" s="4">
        <v>2</v>
      </c>
      <c r="G154" s="4">
        <v>2</v>
      </c>
      <c r="H154" s="4">
        <v>2</v>
      </c>
      <c r="I154" s="4">
        <v>2</v>
      </c>
      <c r="J154" s="4">
        <v>2</v>
      </c>
      <c r="K154" s="4">
        <v>2</v>
      </c>
      <c r="L154" s="4">
        <v>2</v>
      </c>
      <c r="M154" s="4"/>
      <c r="N154" s="4"/>
      <c r="O154" s="4"/>
      <c r="P154" s="4"/>
      <c r="Q154" s="4"/>
      <c r="R154" s="4"/>
      <c r="S154" s="4"/>
      <c r="T154" s="4"/>
      <c r="U154" s="4"/>
    </row>
    <row r="155" spans="2:21" x14ac:dyDescent="0.2">
      <c r="C155" s="3" t="s">
        <v>8</v>
      </c>
      <c r="D155" s="3"/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/>
      <c r="N155" s="4"/>
      <c r="O155" s="4"/>
      <c r="P155" s="4"/>
      <c r="Q155" s="4"/>
      <c r="R155" s="4"/>
      <c r="S155" s="4"/>
      <c r="T155" s="4"/>
      <c r="U155" s="4"/>
    </row>
    <row r="156" spans="2:21" x14ac:dyDescent="0.2">
      <c r="C156" s="3" t="s">
        <v>9</v>
      </c>
      <c r="D156" s="3"/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/>
      <c r="N156" s="4"/>
      <c r="O156" s="4"/>
      <c r="P156" s="4"/>
      <c r="Q156" s="4"/>
      <c r="R156" s="4"/>
      <c r="S156" s="4"/>
      <c r="T156" s="4"/>
      <c r="U156" s="4"/>
    </row>
    <row r="157" spans="2:21" x14ac:dyDescent="0.2">
      <c r="C157" s="3" t="s">
        <v>10</v>
      </c>
      <c r="D157" s="3"/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/>
      <c r="N157" s="4"/>
      <c r="O157" s="4"/>
      <c r="P157" s="4"/>
      <c r="Q157" s="4"/>
      <c r="R157" s="4"/>
      <c r="S157" s="4"/>
      <c r="T157" s="4"/>
      <c r="U157" s="4"/>
    </row>
    <row r="158" spans="2:21" x14ac:dyDescent="0.2">
      <c r="B158" s="3" t="s">
        <v>11</v>
      </c>
      <c r="C158" s="3" t="s">
        <v>4</v>
      </c>
      <c r="D158" s="3"/>
      <c r="E158" s="4">
        <v>18</v>
      </c>
      <c r="F158" s="4">
        <v>17</v>
      </c>
      <c r="G158" s="4">
        <v>21</v>
      </c>
      <c r="H158" s="4">
        <v>19</v>
      </c>
      <c r="I158" s="4">
        <v>19</v>
      </c>
      <c r="J158" s="4">
        <v>20</v>
      </c>
      <c r="K158" s="4">
        <v>21</v>
      </c>
      <c r="L158" s="4">
        <v>21</v>
      </c>
      <c r="M158" s="4"/>
      <c r="N158" s="4"/>
      <c r="O158" s="4"/>
      <c r="P158" s="4"/>
      <c r="Q158" s="4"/>
      <c r="R158" s="4"/>
      <c r="S158" s="4"/>
      <c r="T158" s="4"/>
      <c r="U158" s="4"/>
    </row>
    <row r="159" spans="2:21" x14ac:dyDescent="0.2">
      <c r="C159" s="3" t="s">
        <v>5</v>
      </c>
      <c r="D159" s="3"/>
      <c r="E159" s="4">
        <v>4</v>
      </c>
      <c r="F159" s="4">
        <v>4</v>
      </c>
      <c r="G159" s="4">
        <v>3</v>
      </c>
      <c r="H159" s="4">
        <v>3</v>
      </c>
      <c r="I159" s="4">
        <v>3</v>
      </c>
      <c r="J159" s="4">
        <v>3</v>
      </c>
      <c r="K159" s="4">
        <v>3</v>
      </c>
      <c r="L159" s="4">
        <v>2</v>
      </c>
      <c r="M159" s="4"/>
      <c r="N159" s="4"/>
      <c r="O159" s="4"/>
      <c r="P159" s="4"/>
      <c r="Q159" s="4"/>
      <c r="R159" s="4"/>
      <c r="S159" s="4"/>
      <c r="T159" s="4"/>
      <c r="U159" s="4"/>
    </row>
    <row r="160" spans="2:21" x14ac:dyDescent="0.2">
      <c r="C160" s="3" t="s">
        <v>6</v>
      </c>
      <c r="D160" s="3"/>
      <c r="E160" s="4">
        <v>3</v>
      </c>
      <c r="F160" s="4">
        <v>3</v>
      </c>
      <c r="G160" s="4">
        <v>3</v>
      </c>
      <c r="H160" s="4">
        <v>4</v>
      </c>
      <c r="I160" s="4">
        <v>4</v>
      </c>
      <c r="J160" s="4">
        <v>4</v>
      </c>
      <c r="K160" s="4">
        <v>5</v>
      </c>
      <c r="L160" s="4">
        <v>5</v>
      </c>
      <c r="M160" s="4"/>
      <c r="N160" s="4"/>
      <c r="O160" s="4"/>
      <c r="P160" s="4"/>
      <c r="Q160" s="4"/>
      <c r="R160" s="4"/>
      <c r="S160" s="4"/>
      <c r="T160" s="4"/>
      <c r="U160" s="4"/>
    </row>
    <row r="161" spans="1:21" x14ac:dyDescent="0.2">
      <c r="C161" s="3" t="s">
        <v>7</v>
      </c>
      <c r="D161" s="3"/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/>
      <c r="N161" s="4"/>
      <c r="O161" s="4"/>
      <c r="P161" s="4"/>
      <c r="Q161" s="4"/>
      <c r="R161" s="4"/>
      <c r="S161" s="4"/>
      <c r="T161" s="4"/>
      <c r="U161" s="4"/>
    </row>
    <row r="162" spans="1:21" x14ac:dyDescent="0.2">
      <c r="C162" s="3" t="s">
        <v>8</v>
      </c>
      <c r="D162" s="3"/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/>
      <c r="N162" s="4"/>
      <c r="O162" s="4"/>
      <c r="P162" s="4"/>
      <c r="Q162" s="4"/>
      <c r="R162" s="4"/>
      <c r="S162" s="4"/>
      <c r="T162" s="4"/>
      <c r="U162" s="4"/>
    </row>
    <row r="163" spans="1:21" x14ac:dyDescent="0.2">
      <c r="C163" s="3" t="s">
        <v>9</v>
      </c>
      <c r="D163" s="3"/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/>
      <c r="N163" s="4"/>
      <c r="O163" s="4"/>
      <c r="P163" s="4"/>
      <c r="Q163" s="4"/>
      <c r="R163" s="4"/>
      <c r="S163" s="4"/>
      <c r="T163" s="4"/>
      <c r="U163" s="4"/>
    </row>
    <row r="164" spans="1:21" x14ac:dyDescent="0.2">
      <c r="C164" s="3" t="s">
        <v>10</v>
      </c>
      <c r="D164" s="3"/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2">
      <c r="B165" s="3" t="s">
        <v>12</v>
      </c>
      <c r="C165" s="3" t="s">
        <v>4</v>
      </c>
      <c r="D165" s="3"/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2">
      <c r="C166" s="3" t="s">
        <v>5</v>
      </c>
      <c r="D166" s="3"/>
      <c r="E166" s="4">
        <v>2</v>
      </c>
      <c r="F166" s="4">
        <v>2</v>
      </c>
      <c r="G166" s="4">
        <v>2</v>
      </c>
      <c r="H166" s="4">
        <v>2</v>
      </c>
      <c r="I166" s="4">
        <v>1</v>
      </c>
      <c r="J166" s="4">
        <v>0</v>
      </c>
      <c r="K166" s="4">
        <v>0</v>
      </c>
      <c r="L166" s="4">
        <v>0</v>
      </c>
      <c r="M166" s="4"/>
      <c r="N166" s="4"/>
      <c r="O166" s="4"/>
      <c r="P166" s="4"/>
      <c r="Q166" s="4"/>
      <c r="R166" s="4"/>
      <c r="S166" s="4"/>
      <c r="T166" s="4"/>
      <c r="U166" s="4"/>
    </row>
    <row r="167" spans="1:21" x14ac:dyDescent="0.2">
      <c r="C167" s="3" t="s">
        <v>6</v>
      </c>
      <c r="D167" s="3"/>
      <c r="E167" s="4">
        <v>7</v>
      </c>
      <c r="F167" s="4">
        <v>7</v>
      </c>
      <c r="G167" s="4">
        <v>7</v>
      </c>
      <c r="H167" s="4">
        <v>9</v>
      </c>
      <c r="I167" s="4">
        <v>3</v>
      </c>
      <c r="J167" s="4">
        <v>0</v>
      </c>
      <c r="K167" s="4">
        <v>0</v>
      </c>
      <c r="L167" s="4">
        <v>0</v>
      </c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2">
      <c r="C168" s="3" t="s">
        <v>7</v>
      </c>
      <c r="D168" s="3"/>
      <c r="E168" s="4">
        <v>1</v>
      </c>
      <c r="F168" s="4">
        <v>1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/>
      <c r="N168" s="4"/>
      <c r="O168" s="4"/>
      <c r="P168" s="4"/>
      <c r="Q168" s="4"/>
      <c r="R168" s="4"/>
      <c r="S168" s="4"/>
      <c r="T168" s="4"/>
      <c r="U168" s="4"/>
    </row>
    <row r="169" spans="1:21" x14ac:dyDescent="0.2">
      <c r="C169" s="3" t="s">
        <v>8</v>
      </c>
      <c r="D169" s="3"/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/>
      <c r="N169" s="4"/>
      <c r="O169" s="4"/>
      <c r="P169" s="4"/>
      <c r="Q169" s="4"/>
      <c r="R169" s="4"/>
      <c r="S169" s="4"/>
      <c r="T169" s="4"/>
      <c r="U169" s="4"/>
    </row>
    <row r="170" spans="1:21" x14ac:dyDescent="0.2">
      <c r="C170" s="3" t="s">
        <v>9</v>
      </c>
      <c r="D170" s="3"/>
      <c r="E170" s="4">
        <v>1</v>
      </c>
      <c r="F170" s="4">
        <v>1</v>
      </c>
      <c r="G170" s="4">
        <v>1</v>
      </c>
      <c r="H170" s="4">
        <v>1</v>
      </c>
      <c r="I170" s="4">
        <v>0</v>
      </c>
      <c r="J170" s="4">
        <v>0</v>
      </c>
      <c r="K170" s="4">
        <v>0</v>
      </c>
      <c r="L170" s="4">
        <v>0</v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2">
      <c r="C171" s="3" t="s">
        <v>10</v>
      </c>
      <c r="D171" s="3"/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/>
      <c r="N171" s="4"/>
      <c r="O171" s="4"/>
      <c r="P171" s="4"/>
      <c r="Q171" s="4"/>
      <c r="R171" s="4"/>
      <c r="S171" s="4"/>
      <c r="T171" s="4"/>
      <c r="U171" s="4"/>
    </row>
    <row r="173" spans="1:21" ht="48" x14ac:dyDescent="0.2">
      <c r="A173" s="5" t="s">
        <v>16</v>
      </c>
    </row>
    <row r="176" spans="1:21" x14ac:dyDescent="0.2">
      <c r="A176" t="s">
        <v>17</v>
      </c>
      <c r="E176" s="3" t="s">
        <v>21</v>
      </c>
      <c r="F176" s="3" t="s">
        <v>22</v>
      </c>
      <c r="G176" s="3" t="s">
        <v>23</v>
      </c>
      <c r="H176" s="3" t="s">
        <v>24</v>
      </c>
      <c r="I176" s="3" t="s">
        <v>25</v>
      </c>
      <c r="J176" s="3" t="s">
        <v>26</v>
      </c>
      <c r="K176" s="3" t="s">
        <v>27</v>
      </c>
      <c r="L176" s="3" t="s">
        <v>28</v>
      </c>
      <c r="M176" s="3"/>
      <c r="N176" s="3"/>
      <c r="O176" s="3"/>
      <c r="P176" s="3"/>
      <c r="Q176" s="3"/>
      <c r="R176" s="3"/>
      <c r="S176" s="3"/>
      <c r="T176" s="3"/>
      <c r="U176" s="3"/>
    </row>
    <row r="177" spans="2:21" x14ac:dyDescent="0.2">
      <c r="B177" s="3" t="s">
        <v>3</v>
      </c>
      <c r="C177" s="3" t="s">
        <v>4</v>
      </c>
      <c r="D177" s="3">
        <f>(99+0)/2</f>
        <v>49.5</v>
      </c>
      <c r="E177" s="4">
        <f>$D4*(E4+E46+E88+E130)</f>
        <v>7338226.5</v>
      </c>
      <c r="F177" s="4">
        <f t="shared" ref="F177:L192" si="0">$D4*(F4+F46+F88+F130)</f>
        <v>7290409.5</v>
      </c>
      <c r="G177" s="4">
        <f t="shared" si="0"/>
        <v>7251700.5</v>
      </c>
      <c r="H177" s="4">
        <f t="shared" si="0"/>
        <v>7138642.5</v>
      </c>
      <c r="I177" s="4">
        <f t="shared" si="0"/>
        <v>7057561.5</v>
      </c>
      <c r="J177" s="4">
        <f t="shared" si="0"/>
        <v>6927129</v>
      </c>
      <c r="K177" s="4">
        <f t="shared" si="0"/>
        <v>6868719</v>
      </c>
      <c r="L177" s="4">
        <f t="shared" si="0"/>
        <v>6808873.5</v>
      </c>
      <c r="M177" s="4"/>
      <c r="N177" s="4"/>
      <c r="O177" s="4"/>
      <c r="P177" s="4"/>
      <c r="Q177" s="4"/>
      <c r="R177" s="4"/>
      <c r="S177" s="4"/>
      <c r="T177" s="4"/>
      <c r="U177" s="4"/>
    </row>
    <row r="178" spans="2:21" x14ac:dyDescent="0.2">
      <c r="C178" s="3" t="s">
        <v>5</v>
      </c>
      <c r="D178" s="3">
        <f>(199+100)/2</f>
        <v>149.5</v>
      </c>
      <c r="E178" s="4">
        <f>$D5*(E5+E47+E89+E131)</f>
        <v>136426823</v>
      </c>
      <c r="F178" s="4">
        <f t="shared" ref="E178:L218" si="1">$D5*(F5+F47+F89+F131)</f>
        <v>137263275.5</v>
      </c>
      <c r="G178" s="4">
        <f t="shared" si="1"/>
        <v>138010925</v>
      </c>
      <c r="H178" s="4">
        <f t="shared" si="1"/>
        <v>138319044.5</v>
      </c>
      <c r="I178" s="4">
        <f t="shared" si="1"/>
        <v>138274344</v>
      </c>
      <c r="J178" s="4">
        <f t="shared" si="1"/>
        <v>137849614.5</v>
      </c>
      <c r="K178" s="4">
        <f t="shared" si="1"/>
        <v>137837505</v>
      </c>
      <c r="L178" s="4">
        <f t="shared" si="1"/>
        <v>137833319</v>
      </c>
      <c r="M178" s="4"/>
      <c r="N178" s="4"/>
      <c r="O178" s="4"/>
      <c r="P178" s="4"/>
      <c r="Q178" s="4"/>
      <c r="R178" s="4"/>
      <c r="S178" s="4"/>
      <c r="T178" s="4"/>
      <c r="U178" s="4"/>
    </row>
    <row r="179" spans="2:21" x14ac:dyDescent="0.2">
      <c r="C179" s="3" t="s">
        <v>6</v>
      </c>
      <c r="D179" s="3">
        <f>(200+499)/2</f>
        <v>349.5</v>
      </c>
      <c r="E179" s="4">
        <f t="shared" si="1"/>
        <v>132763516.5</v>
      </c>
      <c r="F179" s="4">
        <f t="shared" si="0"/>
        <v>135496956</v>
      </c>
      <c r="G179" s="4">
        <f t="shared" si="0"/>
        <v>138482734.5</v>
      </c>
      <c r="H179" s="4">
        <f t="shared" si="0"/>
        <v>140993542.5</v>
      </c>
      <c r="I179" s="4">
        <f t="shared" si="0"/>
        <v>143083552.5</v>
      </c>
      <c r="J179" s="4">
        <f t="shared" si="0"/>
        <v>146269944</v>
      </c>
      <c r="K179" s="4">
        <f t="shared" si="0"/>
        <v>148156545</v>
      </c>
      <c r="L179" s="4">
        <f t="shared" si="0"/>
        <v>149900550</v>
      </c>
      <c r="M179" s="4"/>
      <c r="N179" s="4"/>
      <c r="O179" s="4"/>
      <c r="P179" s="4"/>
      <c r="Q179" s="4"/>
      <c r="R179" s="4"/>
      <c r="S179" s="4"/>
      <c r="T179" s="4"/>
      <c r="U179" s="4"/>
    </row>
    <row r="180" spans="2:21" x14ac:dyDescent="0.2">
      <c r="C180" s="3" t="s">
        <v>7</v>
      </c>
      <c r="D180" s="3">
        <f>(500+999)/2</f>
        <v>749.5</v>
      </c>
      <c r="E180" s="4">
        <f t="shared" si="1"/>
        <v>20231253.5</v>
      </c>
      <c r="F180" s="4">
        <f t="shared" si="0"/>
        <v>20499574.5</v>
      </c>
      <c r="G180" s="4">
        <f t="shared" si="0"/>
        <v>20740164</v>
      </c>
      <c r="H180" s="4">
        <f t="shared" si="0"/>
        <v>20899807.5</v>
      </c>
      <c r="I180" s="4">
        <f t="shared" si="0"/>
        <v>21013731.5</v>
      </c>
      <c r="J180" s="4">
        <f t="shared" si="0"/>
        <v>21557119</v>
      </c>
      <c r="K180" s="4">
        <f t="shared" si="0"/>
        <v>21961849</v>
      </c>
      <c r="L180" s="4">
        <f t="shared" si="0"/>
        <v>22274390.5</v>
      </c>
      <c r="M180" s="4"/>
      <c r="N180" s="4"/>
      <c r="O180" s="4"/>
      <c r="P180" s="4"/>
      <c r="Q180" s="4"/>
      <c r="R180" s="4"/>
      <c r="S180" s="4"/>
      <c r="T180" s="4"/>
      <c r="U180" s="4"/>
    </row>
    <row r="181" spans="2:21" x14ac:dyDescent="0.2">
      <c r="C181" s="3" t="s">
        <v>8</v>
      </c>
      <c r="D181" s="3">
        <f>(1000+1999)/2</f>
        <v>1499.5</v>
      </c>
      <c r="E181" s="4">
        <f t="shared" si="1"/>
        <v>21972173.5</v>
      </c>
      <c r="F181" s="4">
        <f t="shared" si="0"/>
        <v>22273573</v>
      </c>
      <c r="G181" s="4">
        <f t="shared" si="0"/>
        <v>22402530</v>
      </c>
      <c r="H181" s="4">
        <f t="shared" si="0"/>
        <v>22549481</v>
      </c>
      <c r="I181" s="4">
        <f t="shared" si="0"/>
        <v>22630454</v>
      </c>
      <c r="J181" s="4">
        <f t="shared" si="0"/>
        <v>22753413</v>
      </c>
      <c r="K181" s="4">
        <f t="shared" si="0"/>
        <v>23042816.5</v>
      </c>
      <c r="L181" s="4">
        <f t="shared" si="0"/>
        <v>23261743.5</v>
      </c>
      <c r="M181" s="4"/>
      <c r="N181" s="4"/>
      <c r="O181" s="4"/>
      <c r="P181" s="4"/>
      <c r="Q181" s="4"/>
      <c r="R181" s="4"/>
      <c r="S181" s="4"/>
      <c r="T181" s="4"/>
      <c r="U181" s="4"/>
    </row>
    <row r="182" spans="2:21" x14ac:dyDescent="0.2">
      <c r="C182" s="3" t="s">
        <v>9</v>
      </c>
      <c r="D182" s="3">
        <f>(2000+4999)/2</f>
        <v>3499.5</v>
      </c>
      <c r="E182" s="4">
        <f t="shared" si="1"/>
        <v>40310740.5</v>
      </c>
      <c r="F182" s="4">
        <f t="shared" si="0"/>
        <v>40737679.5</v>
      </c>
      <c r="G182" s="4">
        <f t="shared" si="0"/>
        <v>41014140</v>
      </c>
      <c r="H182" s="4">
        <f t="shared" si="0"/>
        <v>41161119</v>
      </c>
      <c r="I182" s="4">
        <f t="shared" si="0"/>
        <v>41245107</v>
      </c>
      <c r="J182" s="4">
        <f t="shared" si="0"/>
        <v>41353591.5</v>
      </c>
      <c r="K182" s="4">
        <f t="shared" si="0"/>
        <v>41560062</v>
      </c>
      <c r="L182" s="4">
        <f t="shared" si="0"/>
        <v>41903013</v>
      </c>
      <c r="M182" s="4"/>
      <c r="N182" s="4"/>
      <c r="O182" s="4"/>
      <c r="P182" s="4"/>
      <c r="Q182" s="4"/>
      <c r="R182" s="4"/>
      <c r="S182" s="4"/>
      <c r="T182" s="4"/>
      <c r="U182" s="4"/>
    </row>
    <row r="183" spans="2:21" x14ac:dyDescent="0.2">
      <c r="C183" s="3" t="s">
        <v>10</v>
      </c>
      <c r="D183" s="3">
        <f>5000</f>
        <v>5000</v>
      </c>
      <c r="E183" s="4">
        <f t="shared" si="1"/>
        <v>12845000</v>
      </c>
      <c r="F183" s="4">
        <f t="shared" si="0"/>
        <v>13140000</v>
      </c>
      <c r="G183" s="4">
        <f t="shared" si="0"/>
        <v>13365000</v>
      </c>
      <c r="H183" s="4">
        <f t="shared" si="0"/>
        <v>13495000</v>
      </c>
      <c r="I183" s="4">
        <f t="shared" si="0"/>
        <v>13635000</v>
      </c>
      <c r="J183" s="4">
        <f t="shared" si="0"/>
        <v>13720000</v>
      </c>
      <c r="K183" s="4">
        <f t="shared" si="0"/>
        <v>13855000</v>
      </c>
      <c r="L183" s="4">
        <f t="shared" si="0"/>
        <v>13980000</v>
      </c>
      <c r="M183" s="4"/>
      <c r="N183" s="4"/>
      <c r="O183" s="4"/>
      <c r="P183" s="4"/>
      <c r="Q183" s="4"/>
      <c r="R183" s="4"/>
      <c r="S183" s="4"/>
      <c r="T183" s="4"/>
      <c r="U183" s="4"/>
    </row>
    <row r="184" spans="2:21" x14ac:dyDescent="0.2">
      <c r="B184" s="3" t="s">
        <v>19</v>
      </c>
      <c r="C184" s="3" t="s">
        <v>4</v>
      </c>
      <c r="D184" s="3">
        <f>(99+0)/2</f>
        <v>49.5</v>
      </c>
      <c r="E184" s="4">
        <f t="shared" si="1"/>
        <v>1237648.5</v>
      </c>
      <c r="F184" s="4">
        <f t="shared" si="0"/>
        <v>1237005</v>
      </c>
      <c r="G184" s="4">
        <f t="shared" si="0"/>
        <v>1232005.5</v>
      </c>
      <c r="H184" s="4">
        <f t="shared" si="0"/>
        <v>1211413.5</v>
      </c>
      <c r="I184" s="4">
        <f t="shared" si="0"/>
        <v>1190722.5</v>
      </c>
      <c r="J184" s="4">
        <f t="shared" si="0"/>
        <v>1163448</v>
      </c>
      <c r="K184" s="4">
        <f t="shared" si="0"/>
        <v>1152855</v>
      </c>
      <c r="L184" s="4">
        <f t="shared" si="0"/>
        <v>1139589</v>
      </c>
      <c r="M184" s="4"/>
      <c r="N184" s="4"/>
      <c r="O184" s="4"/>
      <c r="P184" s="4"/>
      <c r="Q184" s="4"/>
      <c r="R184" s="4"/>
      <c r="S184" s="4"/>
      <c r="T184" s="4"/>
      <c r="U184" s="4"/>
    </row>
    <row r="185" spans="2:21" x14ac:dyDescent="0.2">
      <c r="C185" s="3" t="s">
        <v>5</v>
      </c>
      <c r="D185" s="3">
        <f>(199+100)/2</f>
        <v>149.5</v>
      </c>
      <c r="E185" s="4">
        <f t="shared" si="1"/>
        <v>25301230.5</v>
      </c>
      <c r="F185" s="4">
        <f t="shared" si="0"/>
        <v>25477491</v>
      </c>
      <c r="G185" s="4">
        <f t="shared" si="0"/>
        <v>25651359.5</v>
      </c>
      <c r="H185" s="4">
        <f t="shared" si="0"/>
        <v>25734930</v>
      </c>
      <c r="I185" s="4">
        <f t="shared" si="0"/>
        <v>25722970</v>
      </c>
      <c r="J185" s="4">
        <f t="shared" si="0"/>
        <v>25641343</v>
      </c>
      <c r="K185" s="4">
        <f t="shared" si="0"/>
        <v>25643585.5</v>
      </c>
      <c r="L185" s="4">
        <f t="shared" si="0"/>
        <v>25657638.5</v>
      </c>
      <c r="M185" s="4"/>
      <c r="N185" s="4"/>
      <c r="O185" s="4"/>
      <c r="P185" s="4"/>
      <c r="Q185" s="4"/>
      <c r="R185" s="4"/>
      <c r="S185" s="4"/>
      <c r="T185" s="4"/>
      <c r="U185" s="4"/>
    </row>
    <row r="186" spans="2:21" x14ac:dyDescent="0.2">
      <c r="C186" s="3" t="s">
        <v>6</v>
      </c>
      <c r="D186" s="3">
        <f>(200+499)/2</f>
        <v>349.5</v>
      </c>
      <c r="E186" s="4">
        <f t="shared" si="1"/>
        <v>24276270</v>
      </c>
      <c r="F186" s="4">
        <f t="shared" si="0"/>
        <v>24604450.5</v>
      </c>
      <c r="G186" s="4">
        <f t="shared" si="0"/>
        <v>24836868</v>
      </c>
      <c r="H186" s="4">
        <f t="shared" si="0"/>
        <v>25129749</v>
      </c>
      <c r="I186" s="4">
        <f t="shared" si="0"/>
        <v>25375447.5</v>
      </c>
      <c r="J186" s="4">
        <f t="shared" si="0"/>
        <v>25912978.5</v>
      </c>
      <c r="K186" s="4">
        <f t="shared" si="0"/>
        <v>26192928</v>
      </c>
      <c r="L186" s="4">
        <f t="shared" si="0"/>
        <v>26480916</v>
      </c>
      <c r="M186" s="4"/>
      <c r="N186" s="4"/>
      <c r="O186" s="4"/>
      <c r="P186" s="4"/>
      <c r="Q186" s="4"/>
      <c r="R186" s="4"/>
      <c r="S186" s="4"/>
      <c r="T186" s="4"/>
      <c r="U186" s="4"/>
    </row>
    <row r="187" spans="2:21" x14ac:dyDescent="0.2">
      <c r="C187" s="3" t="s">
        <v>7</v>
      </c>
      <c r="D187" s="3">
        <f>(500+999)/2</f>
        <v>749.5</v>
      </c>
      <c r="E187" s="4">
        <f t="shared" si="1"/>
        <v>5492336</v>
      </c>
      <c r="F187" s="4">
        <f t="shared" si="0"/>
        <v>5543302</v>
      </c>
      <c r="G187" s="4">
        <f t="shared" si="0"/>
        <v>5591270</v>
      </c>
      <c r="H187" s="4">
        <f t="shared" si="0"/>
        <v>5626496.5</v>
      </c>
      <c r="I187" s="4">
        <f t="shared" si="0"/>
        <v>5632492.5</v>
      </c>
      <c r="J187" s="4">
        <f t="shared" si="0"/>
        <v>5696200</v>
      </c>
      <c r="K187" s="4">
        <f t="shared" si="0"/>
        <v>5762156</v>
      </c>
      <c r="L187" s="4">
        <f t="shared" si="0"/>
        <v>5824364.5</v>
      </c>
      <c r="M187" s="4"/>
      <c r="N187" s="4"/>
      <c r="O187" s="4"/>
      <c r="P187" s="4"/>
      <c r="Q187" s="4"/>
      <c r="R187" s="4"/>
      <c r="S187" s="4"/>
      <c r="T187" s="4"/>
      <c r="U187" s="4"/>
    </row>
    <row r="188" spans="2:21" x14ac:dyDescent="0.2">
      <c r="C188" s="3" t="s">
        <v>8</v>
      </c>
      <c r="D188" s="3">
        <f>(1000+1999)/2</f>
        <v>1499.5</v>
      </c>
      <c r="E188" s="4">
        <f t="shared" si="1"/>
        <v>10195100.5</v>
      </c>
      <c r="F188" s="4">
        <f t="shared" si="0"/>
        <v>10289569</v>
      </c>
      <c r="G188" s="4">
        <f t="shared" si="0"/>
        <v>10310562</v>
      </c>
      <c r="H188" s="4">
        <f t="shared" si="0"/>
        <v>10336053.5</v>
      </c>
      <c r="I188" s="4">
        <f t="shared" si="0"/>
        <v>10334554</v>
      </c>
      <c r="J188" s="4">
        <f t="shared" si="0"/>
        <v>10373541</v>
      </c>
      <c r="K188" s="4">
        <f t="shared" si="0"/>
        <v>10427523</v>
      </c>
      <c r="L188" s="4">
        <f t="shared" si="0"/>
        <v>10509995.5</v>
      </c>
      <c r="M188" s="4"/>
      <c r="N188" s="4"/>
      <c r="O188" s="4"/>
      <c r="P188" s="4"/>
      <c r="Q188" s="4"/>
      <c r="R188" s="4"/>
      <c r="S188" s="4"/>
      <c r="T188" s="4"/>
      <c r="U188" s="4"/>
    </row>
    <row r="189" spans="2:21" x14ac:dyDescent="0.2">
      <c r="C189" s="3" t="s">
        <v>9</v>
      </c>
      <c r="D189" s="3">
        <f>(2000+4999)/2</f>
        <v>3499.5</v>
      </c>
      <c r="E189" s="4">
        <f t="shared" si="1"/>
        <v>23320668</v>
      </c>
      <c r="F189" s="4">
        <f t="shared" si="0"/>
        <v>23495643</v>
      </c>
      <c r="G189" s="4">
        <f t="shared" si="0"/>
        <v>23614626</v>
      </c>
      <c r="H189" s="4">
        <f t="shared" si="0"/>
        <v>23691615</v>
      </c>
      <c r="I189" s="4">
        <f t="shared" si="0"/>
        <v>23691615</v>
      </c>
      <c r="J189" s="4">
        <f t="shared" si="0"/>
        <v>23768604</v>
      </c>
      <c r="K189" s="4">
        <f t="shared" si="0"/>
        <v>23831595</v>
      </c>
      <c r="L189" s="4">
        <f t="shared" si="0"/>
        <v>23968075.5</v>
      </c>
      <c r="M189" s="4"/>
      <c r="N189" s="4"/>
      <c r="O189" s="4"/>
      <c r="P189" s="4"/>
      <c r="Q189" s="4"/>
      <c r="R189" s="4"/>
      <c r="S189" s="4"/>
      <c r="T189" s="4"/>
      <c r="U189" s="4"/>
    </row>
    <row r="190" spans="2:21" x14ac:dyDescent="0.2">
      <c r="C190" s="3" t="s">
        <v>10</v>
      </c>
      <c r="D190" s="3">
        <f>5000</f>
        <v>5000</v>
      </c>
      <c r="E190" s="4">
        <f t="shared" si="1"/>
        <v>8705000</v>
      </c>
      <c r="F190" s="4">
        <f t="shared" si="0"/>
        <v>8915000</v>
      </c>
      <c r="G190" s="4">
        <f t="shared" si="0"/>
        <v>9120000</v>
      </c>
      <c r="H190" s="4">
        <f t="shared" si="0"/>
        <v>9190000</v>
      </c>
      <c r="I190" s="4">
        <f t="shared" si="0"/>
        <v>9285000</v>
      </c>
      <c r="J190" s="4">
        <f t="shared" si="0"/>
        <v>9335000</v>
      </c>
      <c r="K190" s="4">
        <f t="shared" si="0"/>
        <v>9415000</v>
      </c>
      <c r="L190" s="4">
        <f t="shared" si="0"/>
        <v>9480000</v>
      </c>
      <c r="M190" s="4"/>
      <c r="N190" s="4"/>
      <c r="O190" s="4"/>
      <c r="P190" s="4"/>
      <c r="Q190" s="4"/>
      <c r="R190" s="4"/>
      <c r="S190" s="4"/>
      <c r="T190" s="4"/>
      <c r="U190" s="4"/>
    </row>
    <row r="191" spans="2:21" x14ac:dyDescent="0.2">
      <c r="B191" s="3" t="s">
        <v>29</v>
      </c>
      <c r="C191" s="3" t="s">
        <v>4</v>
      </c>
      <c r="D191" s="3">
        <f>(99+0)/2</f>
        <v>49.5</v>
      </c>
      <c r="E191" s="4">
        <f t="shared" si="1"/>
        <v>113553</v>
      </c>
      <c r="F191" s="4">
        <f t="shared" si="0"/>
        <v>112315.5</v>
      </c>
      <c r="G191" s="4">
        <f t="shared" si="0"/>
        <v>110830.5</v>
      </c>
      <c r="H191" s="4">
        <f t="shared" si="0"/>
        <v>107563.5</v>
      </c>
      <c r="I191" s="4">
        <f t="shared" si="0"/>
        <v>100386</v>
      </c>
      <c r="J191" s="4">
        <f t="shared" si="0"/>
        <v>96822</v>
      </c>
      <c r="K191" s="4">
        <f t="shared" si="0"/>
        <v>95188.5</v>
      </c>
      <c r="L191" s="4">
        <f t="shared" si="0"/>
        <v>93604.5</v>
      </c>
      <c r="M191" s="4"/>
      <c r="N191" s="4"/>
      <c r="O191" s="4"/>
      <c r="P191" s="4"/>
      <c r="Q191" s="4"/>
      <c r="R191" s="4"/>
      <c r="S191" s="4"/>
      <c r="T191" s="4"/>
      <c r="U191" s="4"/>
    </row>
    <row r="192" spans="2:21" x14ac:dyDescent="0.2">
      <c r="C192" s="3" t="s">
        <v>5</v>
      </c>
      <c r="D192" s="3">
        <f>(199+100)/2</f>
        <v>149.5</v>
      </c>
      <c r="E192" s="4">
        <f t="shared" si="1"/>
        <v>1669466.5</v>
      </c>
      <c r="F192" s="4">
        <f t="shared" si="0"/>
        <v>1677539.5</v>
      </c>
      <c r="G192" s="4">
        <f t="shared" si="0"/>
        <v>1696675.5</v>
      </c>
      <c r="H192" s="4">
        <f t="shared" si="0"/>
        <v>1705496</v>
      </c>
      <c r="I192" s="4">
        <f t="shared" si="0"/>
        <v>1722688.5</v>
      </c>
      <c r="J192" s="4">
        <f t="shared" si="0"/>
        <v>1715512.5</v>
      </c>
      <c r="K192" s="4">
        <f t="shared" si="0"/>
        <v>1721941</v>
      </c>
      <c r="L192" s="4">
        <f t="shared" si="0"/>
        <v>1745263</v>
      </c>
      <c r="M192" s="4"/>
      <c r="N192" s="4"/>
      <c r="O192" s="4"/>
      <c r="P192" s="4"/>
      <c r="Q192" s="4"/>
      <c r="R192" s="4"/>
      <c r="S192" s="4"/>
      <c r="T192" s="4"/>
      <c r="U192" s="4"/>
    </row>
    <row r="193" spans="2:21" x14ac:dyDescent="0.2">
      <c r="C193" s="3" t="s">
        <v>6</v>
      </c>
      <c r="D193" s="3">
        <f>(200+499)/2</f>
        <v>349.5</v>
      </c>
      <c r="E193" s="4">
        <f t="shared" si="1"/>
        <v>3151441.5</v>
      </c>
      <c r="F193" s="4">
        <f t="shared" ref="F193:L208" si="2">$D20*(F20+F62+F104+F146)</f>
        <v>3180100.5</v>
      </c>
      <c r="G193" s="4">
        <f t="shared" si="2"/>
        <v>3189886.5</v>
      </c>
      <c r="H193" s="4">
        <f t="shared" si="2"/>
        <v>3202119</v>
      </c>
      <c r="I193" s="4">
        <f t="shared" si="2"/>
        <v>3216448.5</v>
      </c>
      <c r="J193" s="4">
        <f t="shared" si="2"/>
        <v>3262932</v>
      </c>
      <c r="K193" s="4">
        <f t="shared" si="2"/>
        <v>3280407</v>
      </c>
      <c r="L193" s="4">
        <f t="shared" si="2"/>
        <v>3298581</v>
      </c>
      <c r="M193" s="4"/>
      <c r="N193" s="4"/>
      <c r="O193" s="4"/>
      <c r="P193" s="4"/>
      <c r="Q193" s="4"/>
      <c r="R193" s="4"/>
      <c r="S193" s="4"/>
      <c r="T193" s="4"/>
      <c r="U193" s="4"/>
    </row>
    <row r="194" spans="2:21" x14ac:dyDescent="0.2">
      <c r="C194" s="3" t="s">
        <v>7</v>
      </c>
      <c r="D194" s="3">
        <f>(500+999)/2</f>
        <v>749.5</v>
      </c>
      <c r="E194" s="4">
        <f t="shared" si="1"/>
        <v>1429296.5</v>
      </c>
      <c r="F194" s="4">
        <f t="shared" si="2"/>
        <v>1430046</v>
      </c>
      <c r="G194" s="4">
        <f t="shared" si="2"/>
        <v>1447284.5</v>
      </c>
      <c r="H194" s="4">
        <f t="shared" si="2"/>
        <v>1452531</v>
      </c>
      <c r="I194" s="4">
        <f t="shared" si="2"/>
        <v>1449533</v>
      </c>
      <c r="J194" s="4">
        <f t="shared" si="2"/>
        <v>1448783.5</v>
      </c>
      <c r="K194" s="4">
        <f t="shared" si="2"/>
        <v>1465272.5</v>
      </c>
      <c r="L194" s="4">
        <f t="shared" si="2"/>
        <v>1475016</v>
      </c>
      <c r="M194" s="4"/>
      <c r="N194" s="4"/>
      <c r="O194" s="4"/>
      <c r="P194" s="4"/>
      <c r="Q194" s="4"/>
      <c r="R194" s="4"/>
      <c r="S194" s="4"/>
      <c r="T194" s="4"/>
      <c r="U194" s="4"/>
    </row>
    <row r="195" spans="2:21" x14ac:dyDescent="0.2">
      <c r="C195" s="3" t="s">
        <v>8</v>
      </c>
      <c r="D195" s="3">
        <f>(1000+1999)/2</f>
        <v>1499.5</v>
      </c>
      <c r="E195" s="4">
        <f t="shared" si="1"/>
        <v>4745917.5</v>
      </c>
      <c r="F195" s="4">
        <f t="shared" si="2"/>
        <v>4775907.5</v>
      </c>
      <c r="G195" s="4">
        <f t="shared" si="2"/>
        <v>4745917.5</v>
      </c>
      <c r="H195" s="4">
        <f t="shared" si="2"/>
        <v>4750416</v>
      </c>
      <c r="I195" s="4">
        <f t="shared" si="2"/>
        <v>4733921.5</v>
      </c>
      <c r="J195" s="4">
        <f t="shared" si="2"/>
        <v>4741419</v>
      </c>
      <c r="K195" s="4">
        <f t="shared" si="2"/>
        <v>4768410</v>
      </c>
      <c r="L195" s="4">
        <f t="shared" si="2"/>
        <v>4805897.5</v>
      </c>
      <c r="M195" s="4"/>
      <c r="N195" s="4"/>
      <c r="O195" s="4"/>
      <c r="P195" s="4"/>
      <c r="Q195" s="4"/>
      <c r="R195" s="4"/>
      <c r="S195" s="4"/>
      <c r="T195" s="4"/>
      <c r="U195" s="4"/>
    </row>
    <row r="196" spans="2:21" x14ac:dyDescent="0.2">
      <c r="C196" s="3" t="s">
        <v>9</v>
      </c>
      <c r="D196" s="3">
        <f>(2000+4999)/2</f>
        <v>3499.5</v>
      </c>
      <c r="E196" s="4">
        <f t="shared" si="1"/>
        <v>11600842.5</v>
      </c>
      <c r="F196" s="4">
        <f t="shared" si="2"/>
        <v>11688330</v>
      </c>
      <c r="G196" s="4">
        <f t="shared" si="2"/>
        <v>11747821.5</v>
      </c>
      <c r="H196" s="4">
        <f t="shared" si="2"/>
        <v>11744322</v>
      </c>
      <c r="I196" s="4">
        <f t="shared" si="2"/>
        <v>11758320</v>
      </c>
      <c r="J196" s="4">
        <f t="shared" si="2"/>
        <v>11821311</v>
      </c>
      <c r="K196" s="4">
        <f t="shared" si="2"/>
        <v>11856306</v>
      </c>
      <c r="L196" s="4">
        <f t="shared" si="2"/>
        <v>11957791.5</v>
      </c>
      <c r="M196" s="4"/>
      <c r="N196" s="4"/>
      <c r="O196" s="4"/>
      <c r="P196" s="4"/>
      <c r="Q196" s="4"/>
      <c r="R196" s="4"/>
      <c r="S196" s="4"/>
      <c r="T196" s="4"/>
      <c r="U196" s="4"/>
    </row>
    <row r="197" spans="2:21" x14ac:dyDescent="0.2">
      <c r="C197" s="3" t="s">
        <v>10</v>
      </c>
      <c r="D197" s="3">
        <f>5000</f>
        <v>5000</v>
      </c>
      <c r="E197" s="4">
        <f t="shared" si="1"/>
        <v>4780000</v>
      </c>
      <c r="F197" s="4">
        <f t="shared" si="2"/>
        <v>4940000</v>
      </c>
      <c r="G197" s="4">
        <f t="shared" si="2"/>
        <v>5065000</v>
      </c>
      <c r="H197" s="4">
        <f t="shared" si="2"/>
        <v>5140000</v>
      </c>
      <c r="I197" s="4">
        <f t="shared" si="2"/>
        <v>5215000</v>
      </c>
      <c r="J197" s="4">
        <f t="shared" si="2"/>
        <v>5260000</v>
      </c>
      <c r="K197" s="4">
        <f t="shared" si="2"/>
        <v>5330000</v>
      </c>
      <c r="L197" s="4">
        <f t="shared" si="2"/>
        <v>5360000</v>
      </c>
      <c r="M197" s="4"/>
      <c r="N197" s="4"/>
      <c r="O197" s="4"/>
      <c r="P197" s="4"/>
      <c r="Q197" s="4"/>
      <c r="R197" s="4"/>
      <c r="S197" s="4"/>
      <c r="T197" s="4"/>
      <c r="U197" s="4"/>
    </row>
    <row r="198" spans="2:21" x14ac:dyDescent="0.2">
      <c r="B198" s="3" t="s">
        <v>30</v>
      </c>
      <c r="C198" s="3" t="s">
        <v>4</v>
      </c>
      <c r="D198" s="3">
        <f>(99+0)/2</f>
        <v>49.5</v>
      </c>
      <c r="E198" s="4">
        <f t="shared" si="1"/>
        <v>742.5</v>
      </c>
      <c r="F198" s="4">
        <f t="shared" si="2"/>
        <v>742.5</v>
      </c>
      <c r="G198" s="4">
        <f t="shared" si="2"/>
        <v>742.5</v>
      </c>
      <c r="H198" s="4">
        <f t="shared" si="2"/>
        <v>742.5</v>
      </c>
      <c r="I198" s="4">
        <f t="shared" si="2"/>
        <v>742.5</v>
      </c>
      <c r="J198" s="4">
        <f t="shared" si="2"/>
        <v>742.5</v>
      </c>
      <c r="K198" s="4">
        <f t="shared" si="2"/>
        <v>742.5</v>
      </c>
      <c r="L198" s="4">
        <f t="shared" si="2"/>
        <v>742.5</v>
      </c>
      <c r="M198" s="4"/>
      <c r="N198" s="4"/>
      <c r="O198" s="4"/>
      <c r="P198" s="4"/>
      <c r="Q198" s="4"/>
      <c r="R198" s="4"/>
      <c r="S198" s="4"/>
      <c r="T198" s="4"/>
      <c r="U198" s="4"/>
    </row>
    <row r="199" spans="2:21" x14ac:dyDescent="0.2">
      <c r="C199" s="3" t="s">
        <v>5</v>
      </c>
      <c r="D199" s="3">
        <f>(199+100)/2</f>
        <v>149.5</v>
      </c>
      <c r="E199" s="4">
        <f t="shared" si="1"/>
        <v>49036</v>
      </c>
      <c r="F199" s="4">
        <f t="shared" si="2"/>
        <v>49634</v>
      </c>
      <c r="G199" s="4">
        <f t="shared" si="2"/>
        <v>49783.5</v>
      </c>
      <c r="H199" s="4">
        <f t="shared" si="2"/>
        <v>52026</v>
      </c>
      <c r="I199" s="4">
        <f t="shared" si="2"/>
        <v>51577.5</v>
      </c>
      <c r="J199" s="4">
        <f t="shared" si="2"/>
        <v>51129</v>
      </c>
      <c r="K199" s="4">
        <f t="shared" si="2"/>
        <v>50531</v>
      </c>
      <c r="L199" s="4">
        <f t="shared" si="2"/>
        <v>50830</v>
      </c>
      <c r="M199" s="4"/>
      <c r="N199" s="4"/>
      <c r="O199" s="4"/>
      <c r="P199" s="4"/>
      <c r="Q199" s="4"/>
      <c r="R199" s="4"/>
      <c r="S199" s="4"/>
      <c r="T199" s="4"/>
      <c r="U199" s="4"/>
    </row>
    <row r="200" spans="2:21" x14ac:dyDescent="0.2">
      <c r="C200" s="3" t="s">
        <v>6</v>
      </c>
      <c r="D200" s="3">
        <f>(200+499)/2</f>
        <v>349.5</v>
      </c>
      <c r="E200" s="4">
        <f t="shared" si="1"/>
        <v>512017.5</v>
      </c>
      <c r="F200" s="4">
        <f t="shared" si="2"/>
        <v>510969</v>
      </c>
      <c r="G200" s="4">
        <f t="shared" si="2"/>
        <v>513415.5</v>
      </c>
      <c r="H200" s="4">
        <f t="shared" si="2"/>
        <v>514813.5</v>
      </c>
      <c r="I200" s="4">
        <f t="shared" si="2"/>
        <v>515163</v>
      </c>
      <c r="J200" s="4">
        <f t="shared" si="2"/>
        <v>515163</v>
      </c>
      <c r="K200" s="4">
        <f t="shared" si="2"/>
        <v>517260</v>
      </c>
      <c r="L200" s="4">
        <f t="shared" si="2"/>
        <v>517959</v>
      </c>
      <c r="M200" s="4"/>
      <c r="N200" s="4"/>
      <c r="O200" s="4"/>
      <c r="P200" s="4"/>
      <c r="Q200" s="4"/>
      <c r="R200" s="4"/>
      <c r="S200" s="4"/>
      <c r="T200" s="4"/>
      <c r="U200" s="4"/>
    </row>
    <row r="201" spans="2:21" x14ac:dyDescent="0.2">
      <c r="C201" s="3" t="s">
        <v>7</v>
      </c>
      <c r="D201" s="3">
        <f>(500+999)/2</f>
        <v>749.5</v>
      </c>
      <c r="E201" s="4">
        <f t="shared" si="1"/>
        <v>458694</v>
      </c>
      <c r="F201" s="4">
        <f t="shared" si="2"/>
        <v>460193</v>
      </c>
      <c r="G201" s="4">
        <f t="shared" si="2"/>
        <v>461692</v>
      </c>
      <c r="H201" s="4">
        <f t="shared" si="2"/>
        <v>460942.5</v>
      </c>
      <c r="I201" s="4">
        <f t="shared" si="2"/>
        <v>460193</v>
      </c>
      <c r="J201" s="4">
        <f t="shared" si="2"/>
        <v>462441.5</v>
      </c>
      <c r="K201" s="4">
        <f t="shared" si="2"/>
        <v>463191</v>
      </c>
      <c r="L201" s="4">
        <f t="shared" si="2"/>
        <v>463940.5</v>
      </c>
      <c r="M201" s="4"/>
      <c r="N201" s="4"/>
      <c r="O201" s="4"/>
      <c r="P201" s="4"/>
      <c r="Q201" s="4"/>
      <c r="R201" s="4"/>
      <c r="S201" s="4"/>
      <c r="T201" s="4"/>
      <c r="U201" s="4"/>
    </row>
    <row r="202" spans="2:21" x14ac:dyDescent="0.2">
      <c r="C202" s="3" t="s">
        <v>8</v>
      </c>
      <c r="D202" s="3">
        <f>(1000+1999)/2</f>
        <v>1499.5</v>
      </c>
      <c r="E202" s="4">
        <f t="shared" si="1"/>
        <v>1247584</v>
      </c>
      <c r="F202" s="4">
        <f t="shared" si="2"/>
        <v>1249083.5</v>
      </c>
      <c r="G202" s="4">
        <f t="shared" si="2"/>
        <v>1250583</v>
      </c>
      <c r="H202" s="4">
        <f t="shared" si="2"/>
        <v>1252082.5</v>
      </c>
      <c r="I202" s="4">
        <f t="shared" si="2"/>
        <v>1267077.5</v>
      </c>
      <c r="J202" s="4">
        <f t="shared" si="2"/>
        <v>1274575</v>
      </c>
      <c r="K202" s="4">
        <f t="shared" si="2"/>
        <v>1279073.5</v>
      </c>
      <c r="L202" s="4">
        <f t="shared" si="2"/>
        <v>1280573</v>
      </c>
      <c r="M202" s="4"/>
      <c r="N202" s="4"/>
      <c r="O202" s="4"/>
      <c r="P202" s="4"/>
      <c r="Q202" s="4"/>
      <c r="R202" s="4"/>
      <c r="S202" s="4"/>
      <c r="T202" s="4"/>
      <c r="U202" s="4"/>
    </row>
    <row r="203" spans="2:21" x14ac:dyDescent="0.2">
      <c r="C203" s="3" t="s">
        <v>9</v>
      </c>
      <c r="D203" s="3">
        <f>(2000+4999)/2</f>
        <v>3499.5</v>
      </c>
      <c r="E203" s="4">
        <f t="shared" si="1"/>
        <v>2554635</v>
      </c>
      <c r="F203" s="4">
        <f t="shared" si="2"/>
        <v>2561634</v>
      </c>
      <c r="G203" s="4">
        <f t="shared" si="2"/>
        <v>2568633</v>
      </c>
      <c r="H203" s="4">
        <f t="shared" si="2"/>
        <v>2579131.5</v>
      </c>
      <c r="I203" s="4">
        <f t="shared" si="2"/>
        <v>2579131.5</v>
      </c>
      <c r="J203" s="4">
        <f t="shared" si="2"/>
        <v>2575632</v>
      </c>
      <c r="K203" s="4">
        <f t="shared" si="2"/>
        <v>2579131.5</v>
      </c>
      <c r="L203" s="4">
        <f t="shared" si="2"/>
        <v>2579131.5</v>
      </c>
      <c r="M203" s="4"/>
      <c r="N203" s="4"/>
      <c r="O203" s="4"/>
      <c r="P203" s="4"/>
      <c r="Q203" s="4"/>
      <c r="R203" s="4"/>
      <c r="S203" s="4"/>
      <c r="T203" s="4"/>
      <c r="U203" s="4"/>
    </row>
    <row r="204" spans="2:21" x14ac:dyDescent="0.2">
      <c r="C204" s="3" t="s">
        <v>10</v>
      </c>
      <c r="D204" s="3">
        <f>5000</f>
        <v>5000</v>
      </c>
      <c r="E204" s="4">
        <f t="shared" si="1"/>
        <v>1125000</v>
      </c>
      <c r="F204" s="4">
        <f t="shared" si="2"/>
        <v>1135000</v>
      </c>
      <c r="G204" s="4">
        <f t="shared" si="2"/>
        <v>1160000</v>
      </c>
      <c r="H204" s="4">
        <f t="shared" si="2"/>
        <v>1160000</v>
      </c>
      <c r="I204" s="4">
        <f t="shared" si="2"/>
        <v>1160000</v>
      </c>
      <c r="J204" s="4">
        <f t="shared" si="2"/>
        <v>1155000</v>
      </c>
      <c r="K204" s="4">
        <f t="shared" si="2"/>
        <v>1155000</v>
      </c>
      <c r="L204" s="4">
        <f t="shared" si="2"/>
        <v>1155000</v>
      </c>
      <c r="M204" s="4"/>
      <c r="N204" s="4"/>
      <c r="O204" s="4"/>
      <c r="P204" s="4"/>
      <c r="Q204" s="4"/>
      <c r="R204" s="4"/>
      <c r="S204" s="4"/>
      <c r="T204" s="4"/>
      <c r="U204" s="4"/>
    </row>
    <row r="205" spans="2:21" x14ac:dyDescent="0.2">
      <c r="B205" s="3" t="s">
        <v>11</v>
      </c>
      <c r="C205" s="3" t="s">
        <v>4</v>
      </c>
      <c r="D205" s="3">
        <f>(99+0)/2</f>
        <v>49.5</v>
      </c>
      <c r="E205" s="4">
        <f t="shared" si="1"/>
        <v>18067.5</v>
      </c>
      <c r="F205" s="4">
        <f t="shared" si="2"/>
        <v>19057.5</v>
      </c>
      <c r="G205" s="4">
        <f t="shared" si="2"/>
        <v>18612</v>
      </c>
      <c r="H205" s="4">
        <f t="shared" si="2"/>
        <v>17919</v>
      </c>
      <c r="I205" s="4">
        <f t="shared" si="2"/>
        <v>17572.5</v>
      </c>
      <c r="J205" s="4">
        <f t="shared" si="2"/>
        <v>17820</v>
      </c>
      <c r="K205" s="4">
        <f t="shared" si="2"/>
        <v>17176.5</v>
      </c>
      <c r="L205" s="4">
        <f t="shared" si="2"/>
        <v>17721</v>
      </c>
      <c r="M205" s="4"/>
      <c r="N205" s="4"/>
      <c r="O205" s="4"/>
      <c r="P205" s="4"/>
      <c r="Q205" s="4"/>
      <c r="R205" s="4"/>
      <c r="S205" s="4"/>
      <c r="T205" s="4"/>
      <c r="U205" s="4"/>
    </row>
    <row r="206" spans="2:21" x14ac:dyDescent="0.2">
      <c r="C206" s="3" t="s">
        <v>5</v>
      </c>
      <c r="D206" s="3">
        <f>(199+100)/2</f>
        <v>149.5</v>
      </c>
      <c r="E206" s="4">
        <f t="shared" si="1"/>
        <v>470327</v>
      </c>
      <c r="F206" s="4">
        <f t="shared" si="2"/>
        <v>480044.5</v>
      </c>
      <c r="G206" s="4">
        <f t="shared" si="2"/>
        <v>490509.5</v>
      </c>
      <c r="H206" s="4">
        <f t="shared" si="2"/>
        <v>500227</v>
      </c>
      <c r="I206" s="4">
        <f t="shared" si="2"/>
        <v>499330</v>
      </c>
      <c r="J206" s="4">
        <f t="shared" si="2"/>
        <v>497237</v>
      </c>
      <c r="K206" s="4">
        <f t="shared" si="2"/>
        <v>496639</v>
      </c>
      <c r="L206" s="4">
        <f t="shared" si="2"/>
        <v>496190.5</v>
      </c>
      <c r="M206" s="4"/>
      <c r="N206" s="4"/>
      <c r="O206" s="4"/>
      <c r="P206" s="4"/>
      <c r="Q206" s="4"/>
      <c r="R206" s="4"/>
      <c r="S206" s="4"/>
      <c r="T206" s="4"/>
      <c r="U206" s="4"/>
    </row>
    <row r="207" spans="2:21" x14ac:dyDescent="0.2">
      <c r="C207" s="3" t="s">
        <v>6</v>
      </c>
      <c r="D207" s="3">
        <f>(200+499)/2</f>
        <v>349.5</v>
      </c>
      <c r="E207" s="4">
        <f t="shared" si="1"/>
        <v>216340.5</v>
      </c>
      <c r="F207" s="4">
        <f t="shared" si="2"/>
        <v>219486</v>
      </c>
      <c r="G207" s="4">
        <f t="shared" si="2"/>
        <v>226476</v>
      </c>
      <c r="H207" s="4">
        <f t="shared" si="2"/>
        <v>235213.5</v>
      </c>
      <c r="I207" s="4">
        <f t="shared" si="2"/>
        <v>238708.5</v>
      </c>
      <c r="J207" s="4">
        <f t="shared" si="2"/>
        <v>250941</v>
      </c>
      <c r="K207" s="4">
        <f t="shared" si="2"/>
        <v>259678.5</v>
      </c>
      <c r="L207" s="4">
        <f t="shared" si="2"/>
        <v>265620</v>
      </c>
      <c r="M207" s="4"/>
      <c r="N207" s="4"/>
      <c r="O207" s="4"/>
      <c r="P207" s="4"/>
      <c r="Q207" s="4"/>
      <c r="R207" s="4"/>
      <c r="S207" s="4"/>
      <c r="T207" s="4"/>
      <c r="U207" s="4"/>
    </row>
    <row r="208" spans="2:21" x14ac:dyDescent="0.2">
      <c r="C208" s="3" t="s">
        <v>7</v>
      </c>
      <c r="D208" s="3">
        <f>(500+999)/2</f>
        <v>749.5</v>
      </c>
      <c r="E208" s="4">
        <f t="shared" si="1"/>
        <v>35226.5</v>
      </c>
      <c r="F208" s="4">
        <f t="shared" si="2"/>
        <v>35226.5</v>
      </c>
      <c r="G208" s="4">
        <f t="shared" si="2"/>
        <v>35226.5</v>
      </c>
      <c r="H208" s="4">
        <f t="shared" si="2"/>
        <v>24733.5</v>
      </c>
      <c r="I208" s="4">
        <f t="shared" si="2"/>
        <v>24733.5</v>
      </c>
      <c r="J208" s="4">
        <f t="shared" si="2"/>
        <v>24733.5</v>
      </c>
      <c r="K208" s="4">
        <f t="shared" si="2"/>
        <v>23234.5</v>
      </c>
      <c r="L208" s="4">
        <f t="shared" si="2"/>
        <v>23234.5</v>
      </c>
      <c r="M208" s="4"/>
      <c r="N208" s="4"/>
      <c r="O208" s="4"/>
      <c r="P208" s="4"/>
      <c r="Q208" s="4"/>
      <c r="R208" s="4"/>
      <c r="S208" s="4"/>
      <c r="T208" s="4"/>
      <c r="U208" s="4"/>
    </row>
    <row r="209" spans="2:21" x14ac:dyDescent="0.2">
      <c r="C209" s="3" t="s">
        <v>8</v>
      </c>
      <c r="D209" s="3">
        <f>(1000+1999)/2</f>
        <v>1499.5</v>
      </c>
      <c r="E209" s="4">
        <f t="shared" si="1"/>
        <v>49483.5</v>
      </c>
      <c r="F209" s="4">
        <f t="shared" ref="F209:L218" si="3">$D36*(F36+F78+F120+F162)</f>
        <v>49483.5</v>
      </c>
      <c r="G209" s="4">
        <f t="shared" si="3"/>
        <v>49483.5</v>
      </c>
      <c r="H209" s="4">
        <f t="shared" si="3"/>
        <v>49483.5</v>
      </c>
      <c r="I209" s="4">
        <f t="shared" si="3"/>
        <v>49483.5</v>
      </c>
      <c r="J209" s="4">
        <f t="shared" si="3"/>
        <v>50983</v>
      </c>
      <c r="K209" s="4">
        <f t="shared" si="3"/>
        <v>50983</v>
      </c>
      <c r="L209" s="4">
        <f t="shared" si="3"/>
        <v>50983</v>
      </c>
      <c r="M209" s="4"/>
      <c r="N209" s="4"/>
      <c r="O209" s="4"/>
      <c r="P209" s="4"/>
      <c r="Q209" s="4"/>
      <c r="R209" s="4"/>
      <c r="S209" s="4"/>
      <c r="T209" s="4"/>
      <c r="U209" s="4"/>
    </row>
    <row r="210" spans="2:21" x14ac:dyDescent="0.2">
      <c r="C210" s="3" t="s">
        <v>9</v>
      </c>
      <c r="D210" s="3">
        <f>(2000+4999)/2</f>
        <v>3499.5</v>
      </c>
      <c r="E210" s="4">
        <f t="shared" si="1"/>
        <v>41994</v>
      </c>
      <c r="F210" s="4">
        <f t="shared" si="3"/>
        <v>41994</v>
      </c>
      <c r="G210" s="4">
        <f t="shared" si="3"/>
        <v>41994</v>
      </c>
      <c r="H210" s="4">
        <f t="shared" si="3"/>
        <v>41994</v>
      </c>
      <c r="I210" s="4">
        <f t="shared" si="3"/>
        <v>41994</v>
      </c>
      <c r="J210" s="4">
        <f t="shared" si="3"/>
        <v>45493.5</v>
      </c>
      <c r="K210" s="4">
        <f t="shared" si="3"/>
        <v>41994</v>
      </c>
      <c r="L210" s="4">
        <f t="shared" si="3"/>
        <v>41994</v>
      </c>
      <c r="M210" s="4"/>
      <c r="N210" s="4"/>
      <c r="O210" s="4"/>
      <c r="P210" s="4"/>
      <c r="Q210" s="4"/>
      <c r="R210" s="4"/>
      <c r="S210" s="4"/>
      <c r="T210" s="4"/>
      <c r="U210" s="4"/>
    </row>
    <row r="211" spans="2:21" x14ac:dyDescent="0.2">
      <c r="C211" s="3" t="s">
        <v>10</v>
      </c>
      <c r="D211" s="3">
        <f>5000</f>
        <v>5000</v>
      </c>
      <c r="E211" s="4">
        <f t="shared" si="1"/>
        <v>5000</v>
      </c>
      <c r="F211" s="4">
        <f t="shared" si="3"/>
        <v>5000</v>
      </c>
      <c r="G211" s="4">
        <f t="shared" si="3"/>
        <v>5000</v>
      </c>
      <c r="H211" s="4">
        <f t="shared" si="3"/>
        <v>5000</v>
      </c>
      <c r="I211" s="4">
        <f t="shared" si="3"/>
        <v>5000</v>
      </c>
      <c r="J211" s="4">
        <f t="shared" si="3"/>
        <v>5000</v>
      </c>
      <c r="K211" s="4">
        <f t="shared" si="3"/>
        <v>5000</v>
      </c>
      <c r="L211" s="4">
        <f t="shared" si="3"/>
        <v>5000</v>
      </c>
      <c r="M211" s="4"/>
      <c r="N211" s="4"/>
      <c r="O211" s="4"/>
      <c r="P211" s="4"/>
      <c r="Q211" s="4"/>
      <c r="R211" s="4"/>
      <c r="S211" s="4"/>
      <c r="T211" s="4"/>
      <c r="U211" s="4"/>
    </row>
    <row r="212" spans="2:21" x14ac:dyDescent="0.2">
      <c r="B212" s="3" t="s">
        <v>12</v>
      </c>
      <c r="C212" s="3" t="s">
        <v>4</v>
      </c>
      <c r="D212" s="3">
        <f>(99+0)/2</f>
        <v>49.5</v>
      </c>
      <c r="E212" s="4">
        <f t="shared" si="1"/>
        <v>44104.5</v>
      </c>
      <c r="F212" s="4">
        <f t="shared" si="3"/>
        <v>43065</v>
      </c>
      <c r="G212" s="4">
        <f t="shared" si="3"/>
        <v>41728.5</v>
      </c>
      <c r="H212" s="4">
        <f t="shared" si="3"/>
        <v>40243.5</v>
      </c>
      <c r="I212" s="4">
        <f t="shared" si="3"/>
        <v>39204</v>
      </c>
      <c r="J212" s="4">
        <f t="shared" si="3"/>
        <v>36729</v>
      </c>
      <c r="K212" s="4">
        <f t="shared" si="3"/>
        <v>35145</v>
      </c>
      <c r="L212" s="4">
        <f t="shared" si="3"/>
        <v>33511.5</v>
      </c>
      <c r="M212" s="4"/>
      <c r="N212" s="4"/>
      <c r="O212" s="4"/>
      <c r="P212" s="4"/>
      <c r="Q212" s="4"/>
      <c r="R212" s="4"/>
      <c r="S212" s="4"/>
      <c r="T212" s="4"/>
      <c r="U212" s="4"/>
    </row>
    <row r="213" spans="2:21" x14ac:dyDescent="0.2">
      <c r="C213" s="3" t="s">
        <v>5</v>
      </c>
      <c r="D213" s="3">
        <f>(199+100)/2</f>
        <v>149.5</v>
      </c>
      <c r="E213" s="4">
        <f>$D40*(E40+E82+E124+E166)</f>
        <v>1036035</v>
      </c>
      <c r="F213" s="4">
        <f t="shared" si="3"/>
        <v>1046201</v>
      </c>
      <c r="G213" s="4">
        <f t="shared" si="3"/>
        <v>1052031.5</v>
      </c>
      <c r="H213" s="4">
        <f t="shared" si="3"/>
        <v>1056367</v>
      </c>
      <c r="I213" s="4">
        <f t="shared" si="3"/>
        <v>1057862</v>
      </c>
      <c r="J213" s="4">
        <f t="shared" si="3"/>
        <v>1056068</v>
      </c>
      <c r="K213" s="4">
        <f t="shared" si="3"/>
        <v>1058161</v>
      </c>
      <c r="L213" s="4">
        <f t="shared" si="3"/>
        <v>1059357</v>
      </c>
      <c r="M213" s="4"/>
      <c r="N213" s="4"/>
      <c r="O213" s="4"/>
      <c r="P213" s="4"/>
      <c r="Q213" s="4"/>
      <c r="R213" s="4"/>
      <c r="S213" s="4"/>
      <c r="T213" s="4"/>
      <c r="U213" s="4"/>
    </row>
    <row r="214" spans="2:21" x14ac:dyDescent="0.2">
      <c r="C214" s="3" t="s">
        <v>6</v>
      </c>
      <c r="D214" s="3">
        <f>(200+499)/2</f>
        <v>349.5</v>
      </c>
      <c r="E214" s="4">
        <f t="shared" si="1"/>
        <v>301618.5</v>
      </c>
      <c r="F214" s="4">
        <f t="shared" si="3"/>
        <v>304414.5</v>
      </c>
      <c r="G214" s="4">
        <f t="shared" si="3"/>
        <v>306162</v>
      </c>
      <c r="H214" s="4">
        <f t="shared" si="3"/>
        <v>309657</v>
      </c>
      <c r="I214" s="4">
        <f t="shared" si="3"/>
        <v>312453</v>
      </c>
      <c r="J214" s="4">
        <f t="shared" si="3"/>
        <v>334122</v>
      </c>
      <c r="K214" s="4">
        <f t="shared" si="3"/>
        <v>341461.5</v>
      </c>
      <c r="L214" s="4">
        <f t="shared" si="3"/>
        <v>349500</v>
      </c>
      <c r="M214" s="4"/>
      <c r="N214" s="4"/>
      <c r="O214" s="4"/>
      <c r="P214" s="4"/>
      <c r="Q214" s="4"/>
      <c r="R214" s="4"/>
      <c r="S214" s="4"/>
      <c r="T214" s="4"/>
      <c r="U214" s="4"/>
    </row>
    <row r="215" spans="2:21" x14ac:dyDescent="0.2">
      <c r="C215" s="3" t="s">
        <v>7</v>
      </c>
      <c r="D215" s="3">
        <f>(500+999)/2</f>
        <v>749.5</v>
      </c>
      <c r="E215" s="4">
        <f t="shared" si="1"/>
        <v>52465</v>
      </c>
      <c r="F215" s="4">
        <f t="shared" si="3"/>
        <v>52465</v>
      </c>
      <c r="G215" s="4">
        <f t="shared" si="3"/>
        <v>51715.5</v>
      </c>
      <c r="H215" s="4">
        <f t="shared" si="3"/>
        <v>52465</v>
      </c>
      <c r="I215" s="4">
        <f t="shared" si="3"/>
        <v>52465</v>
      </c>
      <c r="J215" s="4">
        <f t="shared" si="3"/>
        <v>52465</v>
      </c>
      <c r="K215" s="4">
        <f t="shared" si="3"/>
        <v>52465</v>
      </c>
      <c r="L215" s="4">
        <f t="shared" si="3"/>
        <v>52465</v>
      </c>
      <c r="M215" s="4"/>
      <c r="N215" s="4"/>
      <c r="O215" s="4"/>
      <c r="P215" s="4"/>
      <c r="Q215" s="4"/>
      <c r="R215" s="4"/>
      <c r="S215" s="4"/>
      <c r="T215" s="4"/>
      <c r="U215" s="4"/>
    </row>
    <row r="216" spans="2:21" x14ac:dyDescent="0.2">
      <c r="C216" s="3" t="s">
        <v>8</v>
      </c>
      <c r="D216" s="3">
        <f>(1000+1999)/2</f>
        <v>1499.5</v>
      </c>
      <c r="E216" s="4">
        <f t="shared" si="1"/>
        <v>224925</v>
      </c>
      <c r="F216" s="4">
        <f t="shared" si="3"/>
        <v>226424.5</v>
      </c>
      <c r="G216" s="4">
        <f t="shared" si="3"/>
        <v>224925</v>
      </c>
      <c r="H216" s="4">
        <f t="shared" si="3"/>
        <v>226424.5</v>
      </c>
      <c r="I216" s="4">
        <f t="shared" si="3"/>
        <v>224925</v>
      </c>
      <c r="J216" s="4">
        <f t="shared" si="3"/>
        <v>226424.5</v>
      </c>
      <c r="K216" s="4">
        <f t="shared" si="3"/>
        <v>227924</v>
      </c>
      <c r="L216" s="4">
        <f t="shared" si="3"/>
        <v>227924</v>
      </c>
      <c r="M216" s="4"/>
      <c r="N216" s="4"/>
      <c r="O216" s="4"/>
      <c r="P216" s="4"/>
      <c r="Q216" s="4"/>
      <c r="R216" s="4"/>
      <c r="S216" s="4"/>
      <c r="T216" s="4"/>
      <c r="U216" s="4"/>
    </row>
    <row r="217" spans="2:21" x14ac:dyDescent="0.2">
      <c r="C217" s="3" t="s">
        <v>9</v>
      </c>
      <c r="D217" s="3">
        <f>(2000+4999)/2</f>
        <v>3499.5</v>
      </c>
      <c r="E217" s="4">
        <f t="shared" si="1"/>
        <v>563419.5</v>
      </c>
      <c r="F217" s="4">
        <f t="shared" si="3"/>
        <v>563419.5</v>
      </c>
      <c r="G217" s="4">
        <f t="shared" si="3"/>
        <v>570418.5</v>
      </c>
      <c r="H217" s="4">
        <f t="shared" si="3"/>
        <v>566919</v>
      </c>
      <c r="I217" s="4">
        <f t="shared" si="3"/>
        <v>563419.5</v>
      </c>
      <c r="J217" s="4">
        <f t="shared" si="3"/>
        <v>563419.5</v>
      </c>
      <c r="K217" s="4">
        <f t="shared" si="3"/>
        <v>563419.5</v>
      </c>
      <c r="L217" s="4">
        <f t="shared" si="3"/>
        <v>559920</v>
      </c>
      <c r="M217" s="4"/>
      <c r="N217" s="4"/>
      <c r="O217" s="4"/>
      <c r="P217" s="4"/>
      <c r="Q217" s="4"/>
      <c r="R217" s="4"/>
      <c r="S217" s="4"/>
      <c r="T217" s="4"/>
      <c r="U217" s="4"/>
    </row>
    <row r="218" spans="2:21" x14ac:dyDescent="0.2">
      <c r="C218" s="3" t="s">
        <v>10</v>
      </c>
      <c r="D218" s="3">
        <f>5000</f>
        <v>5000</v>
      </c>
      <c r="E218" s="4">
        <f t="shared" si="1"/>
        <v>105000</v>
      </c>
      <c r="F218" s="4">
        <f t="shared" si="3"/>
        <v>105000</v>
      </c>
      <c r="G218" s="4">
        <f t="shared" si="3"/>
        <v>110000</v>
      </c>
      <c r="H218" s="4">
        <f t="shared" si="3"/>
        <v>110000</v>
      </c>
      <c r="I218" s="4">
        <f t="shared" si="3"/>
        <v>110000</v>
      </c>
      <c r="J218" s="4">
        <f t="shared" si="3"/>
        <v>110000</v>
      </c>
      <c r="K218" s="4">
        <f t="shared" si="3"/>
        <v>110000</v>
      </c>
      <c r="L218" s="4">
        <f t="shared" si="3"/>
        <v>110000</v>
      </c>
      <c r="M218" s="4"/>
      <c r="N218" s="4"/>
      <c r="O218" s="4"/>
      <c r="P218" s="4"/>
      <c r="Q218" s="4"/>
      <c r="R218" s="4"/>
      <c r="S218" s="4"/>
      <c r="T218" s="4"/>
      <c r="U218" s="4"/>
    </row>
    <row r="220" spans="2:21" x14ac:dyDescent="0.2">
      <c r="B220" t="s">
        <v>18</v>
      </c>
      <c r="E220" s="3" t="s">
        <v>21</v>
      </c>
      <c r="F220" s="3" t="s">
        <v>22</v>
      </c>
      <c r="G220" s="3" t="s">
        <v>23</v>
      </c>
      <c r="H220" s="3" t="s">
        <v>24</v>
      </c>
      <c r="I220" s="3" t="s">
        <v>25</v>
      </c>
      <c r="J220" s="3" t="s">
        <v>26</v>
      </c>
      <c r="K220" s="3" t="s">
        <v>27</v>
      </c>
      <c r="L220" s="3" t="s">
        <v>28</v>
      </c>
      <c r="M220" s="3"/>
      <c r="N220" s="3"/>
      <c r="O220" s="3"/>
      <c r="P220" s="3"/>
      <c r="Q220" s="3"/>
      <c r="R220" s="3"/>
      <c r="S220" s="3"/>
      <c r="T220" s="3"/>
      <c r="U220" s="3"/>
    </row>
    <row r="221" spans="2:21" x14ac:dyDescent="0.2">
      <c r="B221" s="3" t="s">
        <v>3</v>
      </c>
      <c r="E221">
        <f>SUM(E177:E183)</f>
        <v>371887733.5</v>
      </c>
      <c r="F221">
        <f t="shared" ref="F221:L221" si="4">SUM(F177:F183)</f>
        <v>376701468</v>
      </c>
      <c r="G221">
        <f t="shared" si="4"/>
        <v>381267194</v>
      </c>
      <c r="H221">
        <f t="shared" si="4"/>
        <v>384556637</v>
      </c>
      <c r="I221">
        <f t="shared" si="4"/>
        <v>386939750.5</v>
      </c>
      <c r="J221">
        <f t="shared" si="4"/>
        <v>390430811</v>
      </c>
      <c r="K221">
        <f t="shared" si="4"/>
        <v>393282496.5</v>
      </c>
      <c r="L221">
        <f t="shared" si="4"/>
        <v>395961889.5</v>
      </c>
    </row>
    <row r="222" spans="2:21" x14ac:dyDescent="0.2">
      <c r="B222" s="3" t="s">
        <v>31</v>
      </c>
      <c r="E222">
        <f>SUM(E184:E190)</f>
        <v>98528253.5</v>
      </c>
      <c r="F222">
        <f t="shared" ref="F222:L222" si="5">SUM(F184:F190)</f>
        <v>99562460.5</v>
      </c>
      <c r="G222">
        <f t="shared" si="5"/>
        <v>100356691</v>
      </c>
      <c r="H222">
        <f t="shared" si="5"/>
        <v>100920257.5</v>
      </c>
      <c r="I222">
        <f t="shared" si="5"/>
        <v>101232801.5</v>
      </c>
      <c r="J222">
        <f t="shared" si="5"/>
        <v>101891114.5</v>
      </c>
      <c r="K222">
        <f t="shared" si="5"/>
        <v>102425642.5</v>
      </c>
      <c r="L222">
        <f t="shared" si="5"/>
        <v>103060579</v>
      </c>
    </row>
    <row r="223" spans="2:21" x14ac:dyDescent="0.2">
      <c r="B223" s="3" t="s">
        <v>29</v>
      </c>
      <c r="E223">
        <f>SUM(E191:E197)</f>
        <v>27490517.5</v>
      </c>
      <c r="F223">
        <f t="shared" ref="F223:L223" si="6">SUM(F191:F197)</f>
        <v>27804239</v>
      </c>
      <c r="G223">
        <f t="shared" si="6"/>
        <v>28003416</v>
      </c>
      <c r="H223">
        <f t="shared" si="6"/>
        <v>28102447.5</v>
      </c>
      <c r="I223">
        <f t="shared" si="6"/>
        <v>28196297.5</v>
      </c>
      <c r="J223">
        <f t="shared" si="6"/>
        <v>28346780</v>
      </c>
      <c r="K223">
        <f t="shared" si="6"/>
        <v>28517525</v>
      </c>
      <c r="L223">
        <f t="shared" si="6"/>
        <v>28736153.5</v>
      </c>
    </row>
    <row r="224" spans="2:21" x14ac:dyDescent="0.2">
      <c r="B224" s="3" t="s">
        <v>30</v>
      </c>
      <c r="E224">
        <f>SUM(E198:E204)</f>
        <v>5947709</v>
      </c>
      <c r="F224">
        <f t="shared" ref="F224:L224" si="7">SUM(F198:F204)</f>
        <v>5967256</v>
      </c>
      <c r="G224">
        <f t="shared" si="7"/>
        <v>6004849.5</v>
      </c>
      <c r="H224">
        <f t="shared" si="7"/>
        <v>6019738.5</v>
      </c>
      <c r="I224">
        <f t="shared" si="7"/>
        <v>6033885</v>
      </c>
      <c r="J224">
        <f t="shared" si="7"/>
        <v>6034683</v>
      </c>
      <c r="K224">
        <f t="shared" si="7"/>
        <v>6044929.5</v>
      </c>
      <c r="L224">
        <f t="shared" si="7"/>
        <v>6048176.5</v>
      </c>
    </row>
    <row r="225" spans="2:21" x14ac:dyDescent="0.2">
      <c r="B225" s="3" t="s">
        <v>11</v>
      </c>
      <c r="E225">
        <f>SUM(E205:E211)</f>
        <v>836439</v>
      </c>
      <c r="F225">
        <f t="shared" ref="F225:K225" si="8">SUM(F205:F211)</f>
        <v>850292</v>
      </c>
      <c r="G225">
        <f t="shared" si="8"/>
        <v>867301.5</v>
      </c>
      <c r="H225">
        <f t="shared" si="8"/>
        <v>874570.5</v>
      </c>
      <c r="I225">
        <f t="shared" si="8"/>
        <v>876822</v>
      </c>
      <c r="J225">
        <f t="shared" si="8"/>
        <v>892208</v>
      </c>
      <c r="K225">
        <f t="shared" si="8"/>
        <v>894705.5</v>
      </c>
      <c r="L225">
        <f>SUM(L205:L211)</f>
        <v>900743</v>
      </c>
    </row>
    <row r="226" spans="2:21" x14ac:dyDescent="0.2">
      <c r="B226" s="3" t="s">
        <v>12</v>
      </c>
      <c r="E226">
        <f>SUM(E212:E218)</f>
        <v>2327567.5</v>
      </c>
      <c r="F226">
        <f t="shared" ref="F226:L226" si="9">SUM(F212:F218)</f>
        <v>2340989.5</v>
      </c>
      <c r="G226">
        <f t="shared" si="9"/>
        <v>2356981</v>
      </c>
      <c r="H226">
        <f t="shared" si="9"/>
        <v>2362076</v>
      </c>
      <c r="I226">
        <f t="shared" si="9"/>
        <v>2360328.5</v>
      </c>
      <c r="J226">
        <f t="shared" si="9"/>
        <v>2379228</v>
      </c>
      <c r="K226">
        <f t="shared" si="9"/>
        <v>2388576</v>
      </c>
      <c r="L226">
        <f t="shared" si="9"/>
        <v>2392677.5</v>
      </c>
    </row>
    <row r="229" spans="2:21" x14ac:dyDescent="0.2">
      <c r="B229" t="s">
        <v>18</v>
      </c>
      <c r="E229" s="3" t="s">
        <v>21</v>
      </c>
      <c r="F229" s="3" t="s">
        <v>22</v>
      </c>
      <c r="G229" s="3" t="s">
        <v>23</v>
      </c>
      <c r="H229" s="3" t="s">
        <v>24</v>
      </c>
      <c r="I229" s="3" t="s">
        <v>25</v>
      </c>
      <c r="J229" s="3" t="s">
        <v>26</v>
      </c>
      <c r="K229" s="3" t="s">
        <v>27</v>
      </c>
      <c r="L229" s="3" t="s">
        <v>28</v>
      </c>
      <c r="M229" s="3"/>
      <c r="N229" s="3"/>
      <c r="O229" s="3"/>
      <c r="P229" s="3"/>
      <c r="Q229" s="3"/>
      <c r="R229" s="3"/>
      <c r="S229" s="3"/>
      <c r="T229" s="3"/>
      <c r="U229" s="3"/>
    </row>
    <row r="230" spans="2:21" x14ac:dyDescent="0.2">
      <c r="B230" s="6" t="s">
        <v>3</v>
      </c>
      <c r="E230">
        <f>E221</f>
        <v>371887733.5</v>
      </c>
      <c r="F230">
        <f t="shared" ref="F230:L230" si="10">F221</f>
        <v>376701468</v>
      </c>
      <c r="G230">
        <f t="shared" si="10"/>
        <v>381267194</v>
      </c>
      <c r="H230">
        <f t="shared" si="10"/>
        <v>384556637</v>
      </c>
      <c r="I230">
        <f t="shared" si="10"/>
        <v>386939750.5</v>
      </c>
      <c r="J230">
        <f t="shared" si="10"/>
        <v>390430811</v>
      </c>
      <c r="K230">
        <f t="shared" si="10"/>
        <v>393282496.5</v>
      </c>
      <c r="L230">
        <f t="shared" si="10"/>
        <v>395961889.5</v>
      </c>
    </row>
    <row r="231" spans="2:21" x14ac:dyDescent="0.2">
      <c r="B231" t="s">
        <v>19</v>
      </c>
      <c r="E231">
        <f>E222</f>
        <v>98528253.5</v>
      </c>
      <c r="F231">
        <f t="shared" ref="F231:L231" si="11">F222</f>
        <v>99562460.5</v>
      </c>
      <c r="G231">
        <f t="shared" si="11"/>
        <v>100356691</v>
      </c>
      <c r="H231">
        <f t="shared" si="11"/>
        <v>100920257.5</v>
      </c>
      <c r="I231">
        <f t="shared" si="11"/>
        <v>101232801.5</v>
      </c>
      <c r="J231">
        <f t="shared" si="11"/>
        <v>101891114.5</v>
      </c>
      <c r="K231">
        <f t="shared" si="11"/>
        <v>102425642.5</v>
      </c>
      <c r="L231">
        <f t="shared" si="11"/>
        <v>103060579</v>
      </c>
    </row>
    <row r="232" spans="2:21" x14ac:dyDescent="0.2">
      <c r="B232" t="s">
        <v>20</v>
      </c>
      <c r="E232">
        <f>SUM(E223:E226)</f>
        <v>36602233</v>
      </c>
      <c r="F232">
        <f t="shared" ref="F232:L232" si="12">SUM(F223:F226)</f>
        <v>36962776.5</v>
      </c>
      <c r="G232">
        <f t="shared" si="12"/>
        <v>37232548</v>
      </c>
      <c r="H232">
        <f t="shared" si="12"/>
        <v>37358832.5</v>
      </c>
      <c r="I232">
        <f t="shared" si="12"/>
        <v>37467333</v>
      </c>
      <c r="J232">
        <f t="shared" si="12"/>
        <v>37652899</v>
      </c>
      <c r="K232">
        <f t="shared" si="12"/>
        <v>37845736</v>
      </c>
      <c r="L232">
        <f t="shared" si="12"/>
        <v>38077750.5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BYGB1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Nelgy Skov Wohlert</cp:lastModifiedBy>
  <dcterms:created xsi:type="dcterms:W3CDTF">2026-03-23T17:51:34Z</dcterms:created>
  <dcterms:modified xsi:type="dcterms:W3CDTF">2026-04-04T14:30:30Z</dcterms:modified>
</cp:coreProperties>
</file>