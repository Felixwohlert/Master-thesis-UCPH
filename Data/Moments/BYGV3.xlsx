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codeName="ThisWorkbook"/>
  <mc:AlternateContent xmlns:mc="http://schemas.openxmlformats.org/markup-compatibility/2006">
    <mc:Choice Requires="x15">
      <x15ac:absPath xmlns:x15ac="http://schemas.microsoft.com/office/spreadsheetml/2010/11/ac" url="/Users/felixwohlert/Desktop/Speciale/Code for thesis/Data/Moments/"/>
    </mc:Choice>
  </mc:AlternateContent>
  <xr:revisionPtr revIDLastSave="0" documentId="13_ncr:1_{74DAF06B-BB98-7049-99B1-B06BF47C8CB3}" xr6:coauthVersionLast="47" xr6:coauthVersionMax="47" xr10:uidLastSave="{00000000-0000-0000-0000-000000000000}"/>
  <bookViews>
    <workbookView xWindow="0" yWindow="1640" windowWidth="28800" windowHeight="16360" xr2:uid="{00000000-000D-0000-FFFF-FFFF00000000}"/>
  </bookViews>
  <sheets>
    <sheet name="BYGV3"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 r="E15" i="2"/>
  <c r="F15" i="2"/>
  <c r="G15" i="2"/>
  <c r="H15" i="2"/>
  <c r="I15" i="2"/>
  <c r="J15" i="2"/>
  <c r="K15" i="2"/>
  <c r="L15" i="2"/>
  <c r="M15" i="2"/>
  <c r="N15" i="2"/>
  <c r="O15" i="2"/>
  <c r="P15" i="2"/>
  <c r="Q15" i="2"/>
  <c r="R15" i="2"/>
  <c r="S15" i="2"/>
  <c r="C15" i="2"/>
  <c r="D14" i="2" l="1"/>
  <c r="E14" i="2"/>
  <c r="F14" i="2"/>
  <c r="G14" i="2"/>
  <c r="H14" i="2"/>
  <c r="I14" i="2"/>
  <c r="J14" i="2"/>
  <c r="K14" i="2"/>
  <c r="L14" i="2"/>
  <c r="M14" i="2"/>
  <c r="N14" i="2"/>
  <c r="O14" i="2"/>
  <c r="P14" i="2"/>
  <c r="Q14" i="2"/>
  <c r="R14" i="2"/>
  <c r="S14" i="2"/>
  <c r="D16" i="2"/>
  <c r="E16" i="2"/>
  <c r="F16" i="2"/>
  <c r="G16" i="2"/>
  <c r="H16" i="2"/>
  <c r="I16" i="2"/>
  <c r="J16" i="2"/>
  <c r="K16" i="2"/>
  <c r="L16" i="2"/>
  <c r="M16" i="2"/>
  <c r="N16" i="2"/>
  <c r="O16" i="2"/>
  <c r="P16" i="2"/>
  <c r="Q16" i="2"/>
  <c r="R16" i="2"/>
  <c r="S16" i="2"/>
  <c r="C16" i="2"/>
  <c r="C14" i="2"/>
</calcChain>
</file>

<file path=xl/sharedStrings.xml><?xml version="1.0" encoding="utf-8"?>
<sst xmlns="http://schemas.openxmlformats.org/spreadsheetml/2006/main" count="31" uniqueCount="30">
  <si>
    <t>Det samlede boligbyggeri (ikke korrigeret for forsinkelser) efter tilstand, område og tid</t>
  </si>
  <si>
    <t>Enhed: Antal</t>
  </si>
  <si>
    <t>1990</t>
  </si>
  <si>
    <t>1991</t>
  </si>
  <si>
    <t>1992</t>
  </si>
  <si>
    <t>1993</t>
  </si>
  <si>
    <t>1994</t>
  </si>
  <si>
    <t>1995</t>
  </si>
  <si>
    <t>1996</t>
  </si>
  <si>
    <t>1997</t>
  </si>
  <si>
    <t>1998</t>
  </si>
  <si>
    <t>1999</t>
  </si>
  <si>
    <t>2000</t>
  </si>
  <si>
    <t>2001</t>
  </si>
  <si>
    <t>2002</t>
  </si>
  <si>
    <t>2003</t>
  </si>
  <si>
    <t>2004</t>
  </si>
  <si>
    <t>2005</t>
  </si>
  <si>
    <t>2006</t>
  </si>
  <si>
    <t>Fuldført byggeri</t>
  </si>
  <si>
    <t>Hele landet</t>
  </si>
  <si>
    <t>København og Frederiksberg</t>
  </si>
  <si>
    <t>Københavns Amt</t>
  </si>
  <si>
    <t>Dragør</t>
  </si>
  <si>
    <t>Tårnby</t>
  </si>
  <si>
    <t>Frederiksborg Amt</t>
  </si>
  <si>
    <t xml:space="preserve">Overgangen til den nye version af BBR (ny struktur og nye metoder) i juni 2017 betød i forbindelse med offentliggørelsen af 4. kvartal 2017 og 1. kvartal 2018 store revisioner af alle byggestatistikkens tidsserier. For opgørelserne af tilladt og især påbegyndt byggeri er der dog stadig en betydelig usikkerhed om tallene for det seneste, løbende 1½ år. Det forventes, at der senere vil komme væsentlige opjusteringer af disse tal, når data er blevet registeret i BBR. </t>
  </si>
  <si>
    <t>Region Hovedstaden</t>
  </si>
  <si>
    <t>Landsdel København by</t>
  </si>
  <si>
    <t>Bornholm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</si>
</sst>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rgb="FF000000"/>
      <name val="Calibri"/>
      <family val="2"/>
    </font>
    <font>
      <b/>
      <sz val="13"/>
      <color rgb="FF000000"/>
      <name val="Calibri"/>
      <family val="2"/>
    </font>
    <font>
      <i/>
      <sz val="11"/>
      <color rgb="FF000000"/>
      <name val="Calibri"/>
      <family val="2"/>
    </font>
    <font>
      <b/>
      <sz val="11"/>
      <color rgb="FF000000"/>
      <name val="Calibri"/>
      <family val="2"/>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applyNumberFormat="0" applyBorder="0" applyAlignment="0"/>
  </cellStyleXfs>
  <cellXfs count="7">
    <xf numFmtId="0" fontId="0" fillId="0" borderId="0" xfId="0"/>
    <xf numFmtId="0" fontId="1" fillId="0" borderId="0" xfId="0" applyFont="1"/>
    <xf numFmtId="0" fontId="2" fillId="0" borderId="0" xfId="0" applyFont="1"/>
    <xf numFmtId="0" fontId="3" fillId="0" borderId="0" xfId="0" applyFont="1" applyAlignment="1">
      <alignment horizontal="left"/>
    </xf>
    <xf numFmtId="0" fontId="0" fillId="0" borderId="0" xfId="0" applyAlignment="1">
      <alignment horizontal="right"/>
    </xf>
    <xf numFmtId="0" fontId="2" fillId="0" borderId="0" xfId="0" applyFont="1" applyAlignment="1">
      <alignment wrapText="1"/>
    </xf>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6"/>
  <sheetViews>
    <sheetView tabSelected="1" topLeftCell="A11" workbookViewId="0">
      <selection activeCell="C15" sqref="C15:S15"/>
    </sheetView>
  </sheetViews>
  <sheetFormatPr baseColWidth="10" defaultColWidth="8.83203125" defaultRowHeight="15" x14ac:dyDescent="0.2"/>
  <cols>
    <col min="1" max="1" width="40.6640625" customWidth="1"/>
    <col min="2" max="2" width="28.33203125" customWidth="1"/>
    <col min="3" max="19" width="7" customWidth="1"/>
  </cols>
  <sheetData>
    <row r="1" spans="1:19" ht="17" x14ac:dyDescent="0.2">
      <c r="A1" s="1" t="s">
        <v>0</v>
      </c>
    </row>
    <row r="2" spans="1:19" x14ac:dyDescent="0.2">
      <c r="A2" s="2" t="s">
        <v>1</v>
      </c>
    </row>
    <row r="3" spans="1:19" x14ac:dyDescent="0.2">
      <c r="C3" s="3" t="s">
        <v>2</v>
      </c>
      <c r="D3" s="3" t="s">
        <v>3</v>
      </c>
      <c r="E3" s="3" t="s">
        <v>4</v>
      </c>
      <c r="F3" s="3" t="s">
        <v>5</v>
      </c>
      <c r="G3" s="3" t="s">
        <v>6</v>
      </c>
      <c r="H3" s="3" t="s">
        <v>7</v>
      </c>
      <c r="I3" s="3" t="s">
        <v>8</v>
      </c>
      <c r="J3" s="3" t="s">
        <v>9</v>
      </c>
      <c r="K3" s="3" t="s">
        <v>10</v>
      </c>
      <c r="L3" s="3" t="s">
        <v>11</v>
      </c>
      <c r="M3" s="3" t="s">
        <v>12</v>
      </c>
      <c r="N3" s="3" t="s">
        <v>13</v>
      </c>
      <c r="O3" s="3" t="s">
        <v>14</v>
      </c>
      <c r="P3" s="3" t="s">
        <v>15</v>
      </c>
      <c r="Q3" s="3" t="s">
        <v>16</v>
      </c>
      <c r="R3" s="3" t="s">
        <v>17</v>
      </c>
      <c r="S3" s="3" t="s">
        <v>18</v>
      </c>
    </row>
    <row r="4" spans="1:19" x14ac:dyDescent="0.2">
      <c r="A4" s="3" t="s">
        <v>19</v>
      </c>
      <c r="B4" s="3" t="s">
        <v>20</v>
      </c>
      <c r="C4" s="4">
        <v>27237</v>
      </c>
      <c r="D4" s="4">
        <v>20447</v>
      </c>
      <c r="E4" s="4">
        <v>16383</v>
      </c>
      <c r="F4" s="4">
        <v>14131</v>
      </c>
      <c r="G4" s="4">
        <v>13787</v>
      </c>
      <c r="H4" s="4">
        <v>13503</v>
      </c>
      <c r="I4" s="4">
        <v>14239</v>
      </c>
      <c r="J4" s="4">
        <v>17725</v>
      </c>
      <c r="K4" s="4">
        <v>18112</v>
      </c>
      <c r="L4" s="4">
        <v>17241</v>
      </c>
      <c r="M4" s="4">
        <v>16332</v>
      </c>
      <c r="N4" s="4">
        <v>17379</v>
      </c>
      <c r="O4" s="4">
        <v>18796</v>
      </c>
      <c r="P4" s="4">
        <v>23784</v>
      </c>
      <c r="Q4" s="4">
        <v>26259</v>
      </c>
      <c r="R4" s="4">
        <v>27282</v>
      </c>
      <c r="S4" s="4">
        <v>28940</v>
      </c>
    </row>
    <row r="5" spans="1:19" x14ac:dyDescent="0.2">
      <c r="B5" s="3" t="s">
        <v>21</v>
      </c>
      <c r="C5" s="4">
        <v>504</v>
      </c>
      <c r="D5" s="4">
        <v>1976</v>
      </c>
      <c r="E5" s="4">
        <v>790</v>
      </c>
      <c r="F5" s="4">
        <v>607</v>
      </c>
      <c r="G5" s="4">
        <v>1562</v>
      </c>
      <c r="H5" s="4">
        <v>1855</v>
      </c>
      <c r="I5" s="4">
        <v>922</v>
      </c>
      <c r="J5" s="4">
        <v>1020</v>
      </c>
      <c r="K5" s="4">
        <v>579</v>
      </c>
      <c r="L5" s="4">
        <v>769</v>
      </c>
      <c r="M5" s="4">
        <v>808</v>
      </c>
      <c r="N5" s="4">
        <v>1066</v>
      </c>
      <c r="O5" s="4">
        <v>980</v>
      </c>
      <c r="P5" s="4">
        <v>867</v>
      </c>
      <c r="Q5" s="4">
        <v>1660</v>
      </c>
      <c r="R5" s="4">
        <v>3099</v>
      </c>
      <c r="S5" s="4">
        <v>3834</v>
      </c>
    </row>
    <row r="6" spans="1:19" x14ac:dyDescent="0.2">
      <c r="B6" s="3" t="s">
        <v>22</v>
      </c>
      <c r="C6" s="4">
        <v>2263</v>
      </c>
      <c r="D6" s="4">
        <v>1829</v>
      </c>
      <c r="E6" s="4">
        <v>2099</v>
      </c>
      <c r="F6" s="4">
        <v>1182</v>
      </c>
      <c r="G6" s="4">
        <v>928</v>
      </c>
      <c r="H6" s="4">
        <v>998</v>
      </c>
      <c r="I6" s="4">
        <v>1182</v>
      </c>
      <c r="J6" s="4">
        <v>1056</v>
      </c>
      <c r="K6" s="4">
        <v>1449</v>
      </c>
      <c r="L6" s="4">
        <v>669</v>
      </c>
      <c r="M6" s="4">
        <v>799</v>
      </c>
      <c r="N6" s="4">
        <v>921</v>
      </c>
      <c r="O6" s="4">
        <v>1150</v>
      </c>
      <c r="P6" s="4">
        <v>1256</v>
      </c>
      <c r="Q6" s="4">
        <v>1249</v>
      </c>
      <c r="R6" s="4">
        <v>1337</v>
      </c>
      <c r="S6" s="4">
        <v>2017</v>
      </c>
    </row>
    <row r="7" spans="1:19" x14ac:dyDescent="0.2">
      <c r="B7" s="3" t="s">
        <v>23</v>
      </c>
      <c r="C7" s="4">
        <v>59</v>
      </c>
      <c r="D7" s="4">
        <v>15</v>
      </c>
      <c r="E7" s="4">
        <v>19</v>
      </c>
      <c r="F7" s="4">
        <v>8</v>
      </c>
      <c r="G7" s="4">
        <v>26</v>
      </c>
      <c r="H7" s="4">
        <v>49</v>
      </c>
      <c r="I7" s="4">
        <v>73</v>
      </c>
      <c r="J7" s="4">
        <v>21</v>
      </c>
      <c r="K7" s="4">
        <v>17</v>
      </c>
      <c r="L7" s="4">
        <v>9</v>
      </c>
      <c r="M7" s="4">
        <v>93</v>
      </c>
      <c r="N7" s="4">
        <v>33</v>
      </c>
      <c r="O7" s="4">
        <v>30</v>
      </c>
      <c r="P7" s="4">
        <v>40</v>
      </c>
      <c r="Q7" s="4">
        <v>24</v>
      </c>
      <c r="R7" s="4">
        <v>19</v>
      </c>
      <c r="S7" s="4">
        <v>64</v>
      </c>
    </row>
    <row r="8" spans="1:19" x14ac:dyDescent="0.2">
      <c r="B8" s="3" t="s">
        <v>24</v>
      </c>
      <c r="C8" s="4">
        <v>96</v>
      </c>
      <c r="D8" s="4">
        <v>56</v>
      </c>
      <c r="E8" s="4">
        <v>91</v>
      </c>
      <c r="F8" s="4">
        <v>180</v>
      </c>
      <c r="G8" s="4">
        <v>9</v>
      </c>
      <c r="H8" s="4">
        <v>27</v>
      </c>
      <c r="I8" s="4">
        <v>51</v>
      </c>
      <c r="J8" s="4">
        <v>45</v>
      </c>
      <c r="K8" s="4">
        <v>160</v>
      </c>
      <c r="L8" s="4">
        <v>24</v>
      </c>
      <c r="M8" s="4">
        <v>34</v>
      </c>
      <c r="N8" s="4">
        <v>93</v>
      </c>
      <c r="O8" s="4">
        <v>22</v>
      </c>
      <c r="P8" s="4">
        <v>60</v>
      </c>
      <c r="Q8" s="4">
        <v>79</v>
      </c>
      <c r="R8" s="4">
        <v>40</v>
      </c>
      <c r="S8" s="4">
        <v>187</v>
      </c>
    </row>
    <row r="9" spans="1:19" x14ac:dyDescent="0.2">
      <c r="B9" s="3" t="s">
        <v>25</v>
      </c>
      <c r="C9" s="4">
        <v>1876</v>
      </c>
      <c r="D9" s="4">
        <v>1105</v>
      </c>
      <c r="E9" s="4">
        <v>1109</v>
      </c>
      <c r="F9" s="4">
        <v>995</v>
      </c>
      <c r="G9" s="4">
        <v>1114</v>
      </c>
      <c r="H9" s="4">
        <v>1039</v>
      </c>
      <c r="I9" s="4">
        <v>1468</v>
      </c>
      <c r="J9" s="4">
        <v>854</v>
      </c>
      <c r="K9" s="4">
        <v>1337</v>
      </c>
      <c r="L9" s="4">
        <v>1480</v>
      </c>
      <c r="M9" s="4">
        <v>1516</v>
      </c>
      <c r="N9" s="4">
        <v>1260</v>
      </c>
      <c r="O9" s="4">
        <v>1634</v>
      </c>
      <c r="P9" s="4">
        <v>1681</v>
      </c>
      <c r="Q9" s="4">
        <v>1601</v>
      </c>
      <c r="R9" s="4">
        <v>2727</v>
      </c>
      <c r="S9" s="4">
        <v>2475</v>
      </c>
    </row>
    <row r="10" spans="1:19" x14ac:dyDescent="0.2">
      <c r="B10" s="3" t="s">
        <v>29</v>
      </c>
      <c r="C10" s="4">
        <v>225</v>
      </c>
      <c r="D10" s="4">
        <v>122</v>
      </c>
      <c r="E10" s="4">
        <v>47</v>
      </c>
      <c r="F10" s="4">
        <v>92</v>
      </c>
      <c r="G10" s="4">
        <v>50</v>
      </c>
      <c r="H10" s="4">
        <v>39</v>
      </c>
      <c r="I10" s="4">
        <v>71</v>
      </c>
      <c r="J10" s="4">
        <v>108</v>
      </c>
      <c r="K10" s="4">
        <v>87</v>
      </c>
      <c r="L10" s="4">
        <v>85</v>
      </c>
      <c r="M10" s="4">
        <v>62</v>
      </c>
      <c r="N10" s="4">
        <v>48</v>
      </c>
      <c r="O10" s="4">
        <v>92</v>
      </c>
      <c r="P10" s="4">
        <v>120</v>
      </c>
      <c r="Q10" s="4">
        <v>84</v>
      </c>
      <c r="R10" s="4">
        <v>76</v>
      </c>
      <c r="S10" s="4">
        <v>82</v>
      </c>
    </row>
    <row r="11" spans="1:19" ht="160" x14ac:dyDescent="0.2">
      <c r="A11" s="5" t="s">
        <v>26</v>
      </c>
    </row>
    <row r="14" spans="1:19" x14ac:dyDescent="0.2">
      <c r="B14" s="6" t="s">
        <v>20</v>
      </c>
      <c r="C14">
        <f>C4</f>
        <v>27237</v>
      </c>
      <c r="D14">
        <f t="shared" ref="D14:S14" si="0">D4</f>
        <v>20447</v>
      </c>
      <c r="E14">
        <f t="shared" si="0"/>
        <v>16383</v>
      </c>
      <c r="F14">
        <f t="shared" si="0"/>
        <v>14131</v>
      </c>
      <c r="G14">
        <f t="shared" si="0"/>
        <v>13787</v>
      </c>
      <c r="H14">
        <f t="shared" si="0"/>
        <v>13503</v>
      </c>
      <c r="I14">
        <f t="shared" si="0"/>
        <v>14239</v>
      </c>
      <c r="J14">
        <f t="shared" si="0"/>
        <v>17725</v>
      </c>
      <c r="K14">
        <f t="shared" si="0"/>
        <v>18112</v>
      </c>
      <c r="L14">
        <f t="shared" si="0"/>
        <v>17241</v>
      </c>
      <c r="M14">
        <f t="shared" si="0"/>
        <v>16332</v>
      </c>
      <c r="N14">
        <f t="shared" si="0"/>
        <v>17379</v>
      </c>
      <c r="O14">
        <f t="shared" si="0"/>
        <v>18796</v>
      </c>
      <c r="P14">
        <f t="shared" si="0"/>
        <v>23784</v>
      </c>
      <c r="Q14">
        <f t="shared" si="0"/>
        <v>26259</v>
      </c>
      <c r="R14">
        <f t="shared" si="0"/>
        <v>27282</v>
      </c>
      <c r="S14">
        <f t="shared" si="0"/>
        <v>28940</v>
      </c>
    </row>
    <row r="15" spans="1:19" x14ac:dyDescent="0.2">
      <c r="B15" s="6" t="s">
        <v>27</v>
      </c>
      <c r="C15">
        <f>C6+C9+C5+C10</f>
        <v>4868</v>
      </c>
      <c r="D15">
        <f t="shared" ref="D15:S15" si="1">D6+D9+D5+D10</f>
        <v>5032</v>
      </c>
      <c r="E15">
        <f t="shared" si="1"/>
        <v>4045</v>
      </c>
      <c r="F15">
        <f t="shared" si="1"/>
        <v>2876</v>
      </c>
      <c r="G15">
        <f t="shared" si="1"/>
        <v>3654</v>
      </c>
      <c r="H15">
        <f t="shared" si="1"/>
        <v>3931</v>
      </c>
      <c r="I15">
        <f t="shared" si="1"/>
        <v>3643</v>
      </c>
      <c r="J15">
        <f t="shared" si="1"/>
        <v>3038</v>
      </c>
      <c r="K15">
        <f t="shared" si="1"/>
        <v>3452</v>
      </c>
      <c r="L15">
        <f t="shared" si="1"/>
        <v>3003</v>
      </c>
      <c r="M15">
        <f t="shared" si="1"/>
        <v>3185</v>
      </c>
      <c r="N15">
        <f t="shared" si="1"/>
        <v>3295</v>
      </c>
      <c r="O15">
        <f t="shared" si="1"/>
        <v>3856</v>
      </c>
      <c r="P15">
        <f t="shared" si="1"/>
        <v>3924</v>
      </c>
      <c r="Q15">
        <f t="shared" si="1"/>
        <v>4594</v>
      </c>
      <c r="R15">
        <f t="shared" si="1"/>
        <v>7239</v>
      </c>
      <c r="S15">
        <f t="shared" si="1"/>
        <v>8408</v>
      </c>
    </row>
    <row r="16" spans="1:19" x14ac:dyDescent="0.2">
      <c r="B16" s="6" t="s">
        <v>28</v>
      </c>
      <c r="C16">
        <f>C5+C7+C8</f>
        <v>659</v>
      </c>
      <c r="D16">
        <f t="shared" ref="D16:S16" si="2">D5+D7+D8</f>
        <v>2047</v>
      </c>
      <c r="E16">
        <f t="shared" si="2"/>
        <v>900</v>
      </c>
      <c r="F16">
        <f t="shared" si="2"/>
        <v>795</v>
      </c>
      <c r="G16">
        <f t="shared" si="2"/>
        <v>1597</v>
      </c>
      <c r="H16">
        <f t="shared" si="2"/>
        <v>1931</v>
      </c>
      <c r="I16">
        <f t="shared" si="2"/>
        <v>1046</v>
      </c>
      <c r="J16">
        <f t="shared" si="2"/>
        <v>1086</v>
      </c>
      <c r="K16">
        <f t="shared" si="2"/>
        <v>756</v>
      </c>
      <c r="L16">
        <f t="shared" si="2"/>
        <v>802</v>
      </c>
      <c r="M16">
        <f t="shared" si="2"/>
        <v>935</v>
      </c>
      <c r="N16">
        <f t="shared" si="2"/>
        <v>1192</v>
      </c>
      <c r="O16">
        <f t="shared" si="2"/>
        <v>1032</v>
      </c>
      <c r="P16">
        <f t="shared" si="2"/>
        <v>967</v>
      </c>
      <c r="Q16">
        <f t="shared" si="2"/>
        <v>1763</v>
      </c>
      <c r="R16">
        <f t="shared" si="2"/>
        <v>3158</v>
      </c>
      <c r="S16">
        <f t="shared" si="2"/>
        <v>4085</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BYGV3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Felix Nelgy Skov Wohlert</cp:lastModifiedBy>
  <dcterms:created xsi:type="dcterms:W3CDTF">2026-03-25T10:01:38Z</dcterms:created>
  <dcterms:modified xsi:type="dcterms:W3CDTF">2026-04-05T10:27:07Z</dcterms:modified>
</cp:coreProperties>
</file>