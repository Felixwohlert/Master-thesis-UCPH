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Final project/Data/Moments/"/>
    </mc:Choice>
  </mc:AlternateContent>
  <xr:revisionPtr revIDLastSave="0" documentId="13_ncr:1_{2C732FF4-637B-1749-8CF7-B8D1D8DB55E9}" xr6:coauthVersionLast="47" xr6:coauthVersionMax="47" xr10:uidLastSave="{00000000-0000-0000-0000-000000000000}"/>
  <bookViews>
    <workbookView xWindow="0" yWindow="500" windowWidth="28800" windowHeight="16360" xr2:uid="{B7058D59-B5E3-BE43-BB23-E641A149F6B3}"/>
  </bookViews>
  <sheets>
    <sheet name="Data" sheetId="1" r:id="rId1"/>
    <sheet name="Dashboard (capital region def.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G65" i="1"/>
  <c r="G85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G72" i="1"/>
  <c r="G67" i="1"/>
  <c r="AP16" i="1"/>
  <c r="AP17" i="1"/>
  <c r="AP15" i="1"/>
  <c r="AM92" i="1"/>
  <c r="G55" i="1"/>
  <c r="Z68" i="1"/>
  <c r="Y68" i="1"/>
  <c r="E61" i="1"/>
  <c r="I68" i="1"/>
  <c r="I94" i="1"/>
  <c r="AF93" i="1"/>
  <c r="S68" i="1"/>
  <c r="S85" i="1"/>
  <c r="D87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G101" i="1"/>
  <c r="AZ12" i="1" a="1"/>
  <c r="BA12" i="1" a="1"/>
  <c r="BA12" i="1" l="1"/>
  <c r="AZ12" i="1"/>
  <c r="S83" i="1"/>
  <c r="U83" i="1"/>
  <c r="AA83" i="1"/>
  <c r="AC83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S81" i="1"/>
  <c r="T83" i="1"/>
  <c r="V83" i="1"/>
  <c r="W83" i="1"/>
  <c r="X83" i="1"/>
  <c r="Y83" i="1"/>
  <c r="Z83" i="1"/>
  <c r="AB83" i="1"/>
  <c r="AD83" i="1"/>
  <c r="AE83" i="1"/>
  <c r="AF83" i="1"/>
  <c r="AG83" i="1"/>
  <c r="AH83" i="1"/>
  <c r="AI83" i="1"/>
  <c r="AJ83" i="1"/>
  <c r="AL83" i="1"/>
  <c r="AM83" i="1"/>
  <c r="AK84" i="1" l="1"/>
  <c r="AC84" i="1"/>
  <c r="U84" i="1"/>
  <c r="Y84" i="1"/>
  <c r="AK83" i="1"/>
  <c r="AJ84" i="1"/>
  <c r="T84" i="1"/>
  <c r="S84" i="1"/>
  <c r="AB84" i="1"/>
  <c r="AM84" i="1"/>
  <c r="AE84" i="1"/>
  <c r="W84" i="1"/>
  <c r="AL84" i="1"/>
  <c r="AD84" i="1"/>
  <c r="V84" i="1"/>
  <c r="AI84" i="1"/>
  <c r="AH84" i="1"/>
  <c r="Z84" i="1"/>
  <c r="AG84" i="1"/>
  <c r="X84" i="1"/>
  <c r="AA84" i="1"/>
  <c r="AF84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H119" i="1"/>
  <c r="G119" i="1" s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H93" i="1"/>
  <c r="G118" i="1"/>
  <c r="G92" i="1"/>
  <c r="E108" i="1"/>
  <c r="E82" i="1"/>
  <c r="F63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E51" i="1"/>
  <c r="E50" i="1"/>
  <c r="W50" i="1"/>
  <c r="X50" i="1"/>
  <c r="Y50" i="1"/>
  <c r="Z50" i="1"/>
  <c r="AA50" i="1"/>
  <c r="AA95" i="1" s="1"/>
  <c r="AB50" i="1"/>
  <c r="AB95" i="1" s="1"/>
  <c r="AC50" i="1"/>
  <c r="AC95" i="1" s="1"/>
  <c r="AD50" i="1"/>
  <c r="AD95" i="1" s="1"/>
  <c r="AE50" i="1"/>
  <c r="AE95" i="1" s="1"/>
  <c r="AF50" i="1"/>
  <c r="AF95" i="1" s="1"/>
  <c r="AG50" i="1"/>
  <c r="AG95" i="1" s="1"/>
  <c r="AH50" i="1"/>
  <c r="AH95" i="1" s="1"/>
  <c r="AI50" i="1"/>
  <c r="AI95" i="1" s="1"/>
  <c r="AJ50" i="1"/>
  <c r="AJ95" i="1" s="1"/>
  <c r="AK50" i="1"/>
  <c r="AK95" i="1" s="1"/>
  <c r="AL50" i="1"/>
  <c r="AL95" i="1" s="1"/>
  <c r="AM50" i="1"/>
  <c r="AM95" i="1" s="1"/>
  <c r="AN50" i="1"/>
  <c r="W51" i="1"/>
  <c r="X51" i="1"/>
  <c r="Y51" i="1"/>
  <c r="Z51" i="1"/>
  <c r="AA51" i="1"/>
  <c r="AA121" i="1" s="1"/>
  <c r="AB51" i="1"/>
  <c r="AB121" i="1" s="1"/>
  <c r="AC51" i="1"/>
  <c r="AC121" i="1" s="1"/>
  <c r="AD51" i="1"/>
  <c r="AD121" i="1" s="1"/>
  <c r="AE51" i="1"/>
  <c r="AE121" i="1" s="1"/>
  <c r="AF51" i="1"/>
  <c r="AF121" i="1" s="1"/>
  <c r="AG51" i="1"/>
  <c r="AG121" i="1" s="1"/>
  <c r="AH51" i="1"/>
  <c r="AH121" i="1" s="1"/>
  <c r="AI51" i="1"/>
  <c r="AI121" i="1" s="1"/>
  <c r="AJ51" i="1"/>
  <c r="AJ121" i="1" s="1"/>
  <c r="AK51" i="1"/>
  <c r="AK121" i="1" s="1"/>
  <c r="AL51" i="1"/>
  <c r="AL121" i="1" s="1"/>
  <c r="AM51" i="1"/>
  <c r="AM121" i="1" s="1"/>
  <c r="AN51" i="1"/>
  <c r="V51" i="1"/>
  <c r="V50" i="1"/>
  <c r="E67" i="1"/>
  <c r="F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E68" i="1"/>
  <c r="E94" i="1" s="1"/>
  <c r="F68" i="1"/>
  <c r="F94" i="1" s="1"/>
  <c r="G68" i="1"/>
  <c r="H68" i="1"/>
  <c r="J68" i="1"/>
  <c r="K68" i="1"/>
  <c r="L68" i="1"/>
  <c r="M68" i="1"/>
  <c r="N68" i="1"/>
  <c r="O68" i="1"/>
  <c r="P68" i="1"/>
  <c r="Q68" i="1"/>
  <c r="R68" i="1"/>
  <c r="T68" i="1"/>
  <c r="T94" i="1" s="1"/>
  <c r="E69" i="1"/>
  <c r="E120" i="1" s="1"/>
  <c r="F69" i="1"/>
  <c r="F120" i="1" s="1"/>
  <c r="G69" i="1"/>
  <c r="G109" i="1" s="1"/>
  <c r="H69" i="1"/>
  <c r="I69" i="1"/>
  <c r="J69" i="1"/>
  <c r="K69" i="1"/>
  <c r="L69" i="1"/>
  <c r="L120" i="1" s="1"/>
  <c r="M69" i="1"/>
  <c r="M120" i="1" s="1"/>
  <c r="N69" i="1"/>
  <c r="N120" i="1" s="1"/>
  <c r="O69" i="1"/>
  <c r="O120" i="1" s="1"/>
  <c r="P69" i="1"/>
  <c r="Q69" i="1"/>
  <c r="R69" i="1"/>
  <c r="S69" i="1"/>
  <c r="T69" i="1"/>
  <c r="T120" i="1" s="1"/>
  <c r="U67" i="1"/>
  <c r="U68" i="1"/>
  <c r="U94" i="1" s="1"/>
  <c r="U69" i="1"/>
  <c r="U120" i="1" s="1"/>
  <c r="V67" i="1"/>
  <c r="W67" i="1"/>
  <c r="X67" i="1"/>
  <c r="Y67" i="1"/>
  <c r="V68" i="1"/>
  <c r="V94" i="1" s="1"/>
  <c r="W68" i="1"/>
  <c r="W94" i="1" s="1"/>
  <c r="X68" i="1"/>
  <c r="X94" i="1" s="1"/>
  <c r="Y94" i="1"/>
  <c r="V69" i="1"/>
  <c r="V120" i="1" s="1"/>
  <c r="W69" i="1"/>
  <c r="W120" i="1" s="1"/>
  <c r="X69" i="1"/>
  <c r="Y69" i="1"/>
  <c r="Z94" i="1"/>
  <c r="Z69" i="1"/>
  <c r="Z67" i="1"/>
  <c r="W33" i="1"/>
  <c r="W34" i="1" s="1"/>
  <c r="X33" i="1"/>
  <c r="X34" i="1" s="1"/>
  <c r="Y33" i="1"/>
  <c r="Y34" i="1" s="1"/>
  <c r="Z33" i="1"/>
  <c r="Z34" i="1" s="1"/>
  <c r="V33" i="1"/>
  <c r="V34" i="1" s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E59" i="1"/>
  <c r="E62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E64" i="1"/>
  <c r="E63" i="1"/>
  <c r="F62" i="1"/>
  <c r="G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U45" i="1"/>
  <c r="U46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E46" i="1"/>
  <c r="E45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U41" i="1"/>
  <c r="U40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Z29" i="1"/>
  <c r="Z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E29" i="1"/>
  <c r="E28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G93" i="1"/>
  <c r="AH93" i="1"/>
  <c r="AI93" i="1"/>
  <c r="AJ93" i="1"/>
  <c r="AK93" i="1"/>
  <c r="AL93" i="1"/>
  <c r="AM93" i="1"/>
  <c r="H9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S82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E60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F58" i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F80" i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H23" i="1"/>
  <c r="H22" i="1"/>
  <c r="F3" i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94" i="1" l="1"/>
  <c r="K94" i="1"/>
  <c r="K85" i="1"/>
  <c r="R94" i="1"/>
  <c r="R85" i="1"/>
  <c r="R83" i="1" s="1"/>
  <c r="Q83" i="1" s="1"/>
  <c r="P83" i="1" s="1"/>
  <c r="O83" i="1" s="1"/>
  <c r="J94" i="1"/>
  <c r="J85" i="1"/>
  <c r="P94" i="1"/>
  <c r="P85" i="1"/>
  <c r="H94" i="1"/>
  <c r="H85" i="1"/>
  <c r="I85" i="1"/>
  <c r="O94" i="1"/>
  <c r="O85" i="1"/>
  <c r="G94" i="1"/>
  <c r="Q94" i="1"/>
  <c r="Q85" i="1"/>
  <c r="N94" i="1"/>
  <c r="N85" i="1"/>
  <c r="L94" i="1"/>
  <c r="L85" i="1"/>
  <c r="M94" i="1"/>
  <c r="M85" i="1"/>
  <c r="E124" i="1"/>
  <c r="AM110" i="1"/>
  <c r="AM124" i="1"/>
  <c r="AE124" i="1"/>
  <c r="W124" i="1"/>
  <c r="O124" i="1"/>
  <c r="G124" i="1"/>
  <c r="P125" i="1"/>
  <c r="H125" i="1"/>
  <c r="G125" i="1"/>
  <c r="R124" i="1"/>
  <c r="J124" i="1"/>
  <c r="AG124" i="1"/>
  <c r="Y124" i="1"/>
  <c r="Q124" i="1"/>
  <c r="I124" i="1"/>
  <c r="N124" i="1"/>
  <c r="F124" i="1"/>
  <c r="R125" i="1"/>
  <c r="J125" i="1"/>
  <c r="AF124" i="1"/>
  <c r="X124" i="1"/>
  <c r="P124" i="1"/>
  <c r="H124" i="1"/>
  <c r="Q125" i="1"/>
  <c r="I125" i="1"/>
  <c r="Z109" i="1"/>
  <c r="AE110" i="1"/>
  <c r="AM109" i="1"/>
  <c r="O125" i="1"/>
  <c r="Y109" i="1"/>
  <c r="S109" i="1"/>
  <c r="K109" i="1"/>
  <c r="AE109" i="1"/>
  <c r="AG126" i="1"/>
  <c r="AK124" i="1"/>
  <c r="AC124" i="1"/>
  <c r="U124" i="1"/>
  <c r="M124" i="1"/>
  <c r="N125" i="1"/>
  <c r="X109" i="1"/>
  <c r="R109" i="1"/>
  <c r="J109" i="1"/>
  <c r="AG107" i="1"/>
  <c r="W109" i="1"/>
  <c r="Y126" i="1"/>
  <c r="AJ124" i="1"/>
  <c r="AB124" i="1"/>
  <c r="T124" i="1"/>
  <c r="L124" i="1"/>
  <c r="U125" i="1"/>
  <c r="M125" i="1"/>
  <c r="Q109" i="1"/>
  <c r="I109" i="1"/>
  <c r="Y107" i="1"/>
  <c r="O109" i="1"/>
  <c r="AG125" i="1"/>
  <c r="S120" i="1"/>
  <c r="AI124" i="1"/>
  <c r="AA124" i="1"/>
  <c r="S124" i="1"/>
  <c r="K124" i="1"/>
  <c r="T125" i="1"/>
  <c r="L125" i="1"/>
  <c r="P109" i="1"/>
  <c r="H109" i="1"/>
  <c r="Y125" i="1"/>
  <c r="K120" i="1"/>
  <c r="AH124" i="1"/>
  <c r="Z124" i="1"/>
  <c r="S125" i="1"/>
  <c r="K125" i="1"/>
  <c r="S107" i="1"/>
  <c r="AF107" i="1"/>
  <c r="X107" i="1"/>
  <c r="AL110" i="1"/>
  <c r="AD110" i="1"/>
  <c r="AL109" i="1"/>
  <c r="AD109" i="1"/>
  <c r="V109" i="1"/>
  <c r="N109" i="1"/>
  <c r="AL124" i="1"/>
  <c r="AD124" i="1"/>
  <c r="V124" i="1"/>
  <c r="AF126" i="1"/>
  <c r="X126" i="1"/>
  <c r="AF125" i="1"/>
  <c r="X125" i="1"/>
  <c r="Z120" i="1"/>
  <c r="R120" i="1"/>
  <c r="J120" i="1"/>
  <c r="AM107" i="1"/>
  <c r="AE107" i="1"/>
  <c r="W107" i="1"/>
  <c r="AK110" i="1"/>
  <c r="AC110" i="1"/>
  <c r="AK109" i="1"/>
  <c r="AC109" i="1"/>
  <c r="U109" i="1"/>
  <c r="M109" i="1"/>
  <c r="AM126" i="1"/>
  <c r="AE126" i="1"/>
  <c r="W126" i="1"/>
  <c r="AM125" i="1"/>
  <c r="AE125" i="1"/>
  <c r="W125" i="1"/>
  <c r="Y120" i="1"/>
  <c r="Q120" i="1"/>
  <c r="I120" i="1"/>
  <c r="AL107" i="1"/>
  <c r="AD107" i="1"/>
  <c r="V107" i="1"/>
  <c r="AJ110" i="1"/>
  <c r="AB110" i="1"/>
  <c r="AJ109" i="1"/>
  <c r="AB109" i="1"/>
  <c r="T109" i="1"/>
  <c r="L109" i="1"/>
  <c r="AL126" i="1"/>
  <c r="AD126" i="1"/>
  <c r="V126" i="1"/>
  <c r="AL125" i="1"/>
  <c r="AD125" i="1"/>
  <c r="V125" i="1"/>
  <c r="X120" i="1"/>
  <c r="P120" i="1"/>
  <c r="H120" i="1"/>
  <c r="AK107" i="1"/>
  <c r="AC107" i="1"/>
  <c r="U107" i="1"/>
  <c r="AI110" i="1"/>
  <c r="AA110" i="1"/>
  <c r="AI109" i="1"/>
  <c r="AA109" i="1"/>
  <c r="AK126" i="1"/>
  <c r="AC126" i="1"/>
  <c r="AK125" i="1"/>
  <c r="AC125" i="1"/>
  <c r="G120" i="1"/>
  <c r="AJ107" i="1"/>
  <c r="AB107" i="1"/>
  <c r="T107" i="1"/>
  <c r="AH110" i="1"/>
  <c r="AH109" i="1"/>
  <c r="AJ126" i="1"/>
  <c r="AB126" i="1"/>
  <c r="AJ125" i="1"/>
  <c r="AB125" i="1"/>
  <c r="E98" i="1"/>
  <c r="AI107" i="1"/>
  <c r="AA107" i="1"/>
  <c r="AG110" i="1"/>
  <c r="AG109" i="1"/>
  <c r="AI126" i="1"/>
  <c r="AA126" i="1"/>
  <c r="AI125" i="1"/>
  <c r="AA125" i="1"/>
  <c r="AH107" i="1"/>
  <c r="Z107" i="1"/>
  <c r="AF110" i="1"/>
  <c r="AF109" i="1"/>
  <c r="AH126" i="1"/>
  <c r="Z126" i="1"/>
  <c r="AH125" i="1"/>
  <c r="Z125" i="1"/>
  <c r="K70" i="1"/>
  <c r="K86" i="1" s="1"/>
  <c r="S99" i="1"/>
  <c r="E71" i="1"/>
  <c r="E121" i="1" s="1"/>
  <c r="M71" i="1"/>
  <c r="U71" i="1"/>
  <c r="Y71" i="1"/>
  <c r="P71" i="1"/>
  <c r="H71" i="1"/>
  <c r="J71" i="1"/>
  <c r="R71" i="1"/>
  <c r="V71" i="1"/>
  <c r="K71" i="1"/>
  <c r="R70" i="1"/>
  <c r="J70" i="1"/>
  <c r="J86" i="1" s="1"/>
  <c r="Z71" i="1"/>
  <c r="Y70" i="1"/>
  <c r="U70" i="1"/>
  <c r="Q71" i="1"/>
  <c r="I71" i="1"/>
  <c r="Q70" i="1"/>
  <c r="Q86" i="1" s="1"/>
  <c r="I70" i="1"/>
  <c r="I86" i="1" s="1"/>
  <c r="X70" i="1"/>
  <c r="P70" i="1"/>
  <c r="P86" i="1" s="1"/>
  <c r="H99" i="1"/>
  <c r="W70" i="1"/>
  <c r="O71" i="1"/>
  <c r="G71" i="1"/>
  <c r="O70" i="1"/>
  <c r="O86" i="1" s="1"/>
  <c r="G70" i="1"/>
  <c r="G86" i="1" s="1"/>
  <c r="Z70" i="1"/>
  <c r="H70" i="1"/>
  <c r="H86" i="1" s="1"/>
  <c r="V70" i="1"/>
  <c r="N71" i="1"/>
  <c r="F71" i="1"/>
  <c r="F121" i="1" s="1"/>
  <c r="N70" i="1"/>
  <c r="N86" i="1" s="1"/>
  <c r="F70" i="1"/>
  <c r="F95" i="1" s="1"/>
  <c r="X71" i="1"/>
  <c r="T71" i="1"/>
  <c r="L71" i="1"/>
  <c r="T70" i="1"/>
  <c r="L70" i="1"/>
  <c r="L86" i="1" s="1"/>
  <c r="M70" i="1"/>
  <c r="M86" i="1" s="1"/>
  <c r="E70" i="1"/>
  <c r="E95" i="1" s="1"/>
  <c r="W71" i="1"/>
  <c r="S71" i="1"/>
  <c r="S70" i="1"/>
  <c r="S86" i="1" s="1"/>
  <c r="F65" i="1"/>
  <c r="M65" i="1"/>
  <c r="M100" i="1" s="1"/>
  <c r="T65" i="1"/>
  <c r="T100" i="1" s="1"/>
  <c r="K65" i="1"/>
  <c r="K100" i="1" s="1"/>
  <c r="O99" i="1"/>
  <c r="N65" i="1"/>
  <c r="N100" i="1" s="1"/>
  <c r="E65" i="1"/>
  <c r="L65" i="1"/>
  <c r="L100" i="1" s="1"/>
  <c r="H65" i="1"/>
  <c r="H100" i="1" s="1"/>
  <c r="G66" i="1"/>
  <c r="G126" i="1" s="1"/>
  <c r="U65" i="1"/>
  <c r="U100" i="1" s="1"/>
  <c r="E66" i="1"/>
  <c r="T66" i="1"/>
  <c r="T126" i="1" s="1"/>
  <c r="S65" i="1"/>
  <c r="S100" i="1" s="1"/>
  <c r="R65" i="1"/>
  <c r="R100" i="1" s="1"/>
  <c r="O66" i="1"/>
  <c r="O126" i="1" s="1"/>
  <c r="O65" i="1"/>
  <c r="O100" i="1" s="1"/>
  <c r="G100" i="1"/>
  <c r="L66" i="1"/>
  <c r="L126" i="1" s="1"/>
  <c r="N99" i="1"/>
  <c r="M66" i="1"/>
  <c r="M126" i="1" s="1"/>
  <c r="M99" i="1"/>
  <c r="AM99" i="1"/>
  <c r="U99" i="1"/>
  <c r="T99" i="1"/>
  <c r="L99" i="1"/>
  <c r="AM100" i="1"/>
  <c r="AI99" i="1"/>
  <c r="W100" i="1"/>
  <c r="N66" i="1"/>
  <c r="N126" i="1" s="1"/>
  <c r="F66" i="1"/>
  <c r="U66" i="1"/>
  <c r="U126" i="1" s="1"/>
  <c r="P99" i="1"/>
  <c r="R66" i="1"/>
  <c r="R126" i="1" s="1"/>
  <c r="J66" i="1"/>
  <c r="J126" i="1" s="1"/>
  <c r="Q65" i="1"/>
  <c r="Q100" i="1" s="1"/>
  <c r="I65" i="1"/>
  <c r="I100" i="1" s="1"/>
  <c r="R99" i="1"/>
  <c r="J99" i="1"/>
  <c r="AE100" i="1"/>
  <c r="AA99" i="1"/>
  <c r="J65" i="1"/>
  <c r="J100" i="1" s="1"/>
  <c r="P65" i="1"/>
  <c r="P100" i="1" s="1"/>
  <c r="K99" i="1"/>
  <c r="AI100" i="1"/>
  <c r="AE99" i="1"/>
  <c r="Q66" i="1"/>
  <c r="Q126" i="1" s="1"/>
  <c r="I66" i="1"/>
  <c r="I126" i="1" s="1"/>
  <c r="Q99" i="1"/>
  <c r="I99" i="1"/>
  <c r="AA100" i="1"/>
  <c r="W99" i="1"/>
  <c r="AF100" i="1"/>
  <c r="AF99" i="1"/>
  <c r="S66" i="1"/>
  <c r="S126" i="1" s="1"/>
  <c r="K66" i="1"/>
  <c r="K126" i="1" s="1"/>
  <c r="AL100" i="1"/>
  <c r="AD100" i="1"/>
  <c r="V100" i="1"/>
  <c r="AL99" i="1"/>
  <c r="AD99" i="1"/>
  <c r="V99" i="1"/>
  <c r="AK100" i="1"/>
  <c r="AC100" i="1"/>
  <c r="AK99" i="1"/>
  <c r="AC99" i="1"/>
  <c r="X100" i="1"/>
  <c r="X99" i="1"/>
  <c r="P66" i="1"/>
  <c r="P126" i="1" s="1"/>
  <c r="H66" i="1"/>
  <c r="H126" i="1" s="1"/>
  <c r="AJ100" i="1"/>
  <c r="AB100" i="1"/>
  <c r="AJ99" i="1"/>
  <c r="AB99" i="1"/>
  <c r="AH100" i="1"/>
  <c r="Z100" i="1"/>
  <c r="AH99" i="1"/>
  <c r="Z99" i="1"/>
  <c r="AG100" i="1"/>
  <c r="Y100" i="1"/>
  <c r="AG99" i="1"/>
  <c r="Y99" i="1"/>
  <c r="O98" i="1"/>
  <c r="G98" i="1"/>
  <c r="M98" i="1"/>
  <c r="P98" i="1"/>
  <c r="AM98" i="1"/>
  <c r="AE98" i="1"/>
  <c r="W98" i="1"/>
  <c r="AL98" i="1"/>
  <c r="AD98" i="1"/>
  <c r="N98" i="1"/>
  <c r="F98" i="1"/>
  <c r="V98" i="1"/>
  <c r="H98" i="1"/>
  <c r="AK98" i="1"/>
  <c r="AC98" i="1"/>
  <c r="U98" i="1"/>
  <c r="AJ98" i="1"/>
  <c r="AB98" i="1"/>
  <c r="T98" i="1"/>
  <c r="L98" i="1"/>
  <c r="K98" i="1"/>
  <c r="AH98" i="1"/>
  <c r="Z98" i="1"/>
  <c r="R98" i="1"/>
  <c r="J98" i="1"/>
  <c r="AG98" i="1"/>
  <c r="Y98" i="1"/>
  <c r="Q98" i="1"/>
  <c r="I98" i="1"/>
  <c r="AI98" i="1"/>
  <c r="AA98" i="1"/>
  <c r="S98" i="1"/>
  <c r="AF98" i="1"/>
  <c r="X98" i="1"/>
  <c r="R86" i="1" l="1"/>
  <c r="R84" i="1" s="1"/>
  <c r="Q84" i="1" s="1"/>
  <c r="P84" i="1" s="1"/>
  <c r="O84" i="1" s="1"/>
  <c r="N84" i="1" s="1"/>
  <c r="M84" i="1" s="1"/>
  <c r="L84" i="1" s="1"/>
  <c r="K84" i="1" s="1"/>
  <c r="J84" i="1" s="1"/>
  <c r="I84" i="1" s="1"/>
  <c r="H84" i="1" s="1"/>
  <c r="G84" i="1" s="1"/>
  <c r="N83" i="1"/>
  <c r="M83" i="1" s="1"/>
  <c r="L83" i="1" s="1"/>
  <c r="K83" i="1" s="1"/>
  <c r="J83" i="1" s="1"/>
  <c r="I83" i="1" s="1"/>
  <c r="H83" i="1" s="1"/>
  <c r="G83" i="1" s="1"/>
  <c r="V95" i="1"/>
  <c r="Y110" i="1"/>
  <c r="Y121" i="1"/>
  <c r="Z121" i="1"/>
  <c r="Z110" i="1"/>
  <c r="M121" i="1"/>
  <c r="M110" i="1"/>
  <c r="Y95" i="1"/>
  <c r="G110" i="1"/>
  <c r="G121" i="1"/>
  <c r="U121" i="1"/>
  <c r="U110" i="1"/>
  <c r="Z95" i="1"/>
  <c r="R121" i="1"/>
  <c r="R110" i="1"/>
  <c r="K121" i="1"/>
  <c r="K110" i="1"/>
  <c r="O110" i="1"/>
  <c r="O121" i="1"/>
  <c r="V121" i="1"/>
  <c r="V110" i="1"/>
  <c r="S121" i="1"/>
  <c r="S110" i="1"/>
  <c r="L121" i="1"/>
  <c r="L110" i="1"/>
  <c r="W95" i="1"/>
  <c r="W121" i="1"/>
  <c r="W110" i="1"/>
  <c r="T121" i="1"/>
  <c r="T110" i="1"/>
  <c r="J121" i="1"/>
  <c r="J110" i="1"/>
  <c r="X110" i="1"/>
  <c r="X121" i="1"/>
  <c r="I110" i="1"/>
  <c r="I121" i="1"/>
  <c r="H110" i="1"/>
  <c r="H121" i="1"/>
  <c r="N121" i="1"/>
  <c r="N110" i="1"/>
  <c r="X95" i="1"/>
  <c r="Q110" i="1"/>
  <c r="Q121" i="1"/>
  <c r="P110" i="1"/>
  <c r="P121" i="1"/>
  <c r="K95" i="1"/>
  <c r="L95" i="1"/>
  <c r="S95" i="1"/>
  <c r="T95" i="1"/>
  <c r="M95" i="1"/>
  <c r="G95" i="1"/>
  <c r="J95" i="1"/>
  <c r="O95" i="1"/>
  <c r="I95" i="1"/>
  <c r="H95" i="1"/>
  <c r="N95" i="1"/>
  <c r="Q95" i="1"/>
  <c r="U95" i="1"/>
  <c r="R95" i="1"/>
  <c r="P95" i="1"/>
  <c r="H6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<sst xmlns="http://schemas.openxmlformats.org/spreadsheetml/2006/main" count="440" uniqueCount="103">
  <si>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</si>
  <si>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</si>
  <si>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</si>
  <si>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</si>
  <si>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</si>
  <si>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</si>
  <si>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</si>
  <si>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</si>
  <si>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</si>
  <si>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</si>
  <si>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</si>
  <si>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</si>
  <si>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</si>
  <si>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</si>
  <si>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</si>
  <si>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</si>
  <si>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</si>
  <si>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</si>
  <si>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</si>
  <si>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</si>
  <si>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</si>
  <si>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Capital region</t>
  </si>
  <si>
    <t>EJDFOE1</t>
  </si>
  <si>
    <t>DST-code</t>
  </si>
  <si>
    <t>Regional?</t>
  </si>
  <si>
    <t>Variable</t>
  </si>
  <si>
    <t>Comment</t>
  </si>
  <si>
    <t>"Region hovedstaden"</t>
  </si>
  <si>
    <t>"Københavns Kommune"</t>
  </si>
  <si>
    <t>"Landsdelen København" = København, Frederiksberg, Tårnby, Dragør</t>
  </si>
  <si>
    <t>"Hele landet"</t>
  </si>
  <si>
    <t>NAN1</t>
  </si>
  <si>
    <t>Total</t>
  </si>
  <si>
    <t>NABK69</t>
  </si>
  <si>
    <t>Total assets, actual prices, mn. DKK</t>
  </si>
  <si>
    <t>Housing assets, actual prices, mn. DKK</t>
  </si>
  <si>
    <t>Total assets, 2020 prices, mn. DKK</t>
  </si>
  <si>
    <t>Housing assets, 2020 prices, mn. DKK</t>
  </si>
  <si>
    <t>Housing, market prices, mn. DKK</t>
  </si>
  <si>
    <t>GDP, actual prices, bn. DKK</t>
  </si>
  <si>
    <t>GDP, 2020 prices, bn. DKK</t>
  </si>
  <si>
    <t>Measure of production capital</t>
  </si>
  <si>
    <t>Hele landet</t>
  </si>
  <si>
    <t>Region Hovedstaden</t>
  </si>
  <si>
    <t>Landsdel København by</t>
  </si>
  <si>
    <t>m^2 price, DKK</t>
  </si>
  <si>
    <t>BM010</t>
  </si>
  <si>
    <t>Resten af landet (\Region H)</t>
  </si>
  <si>
    <t>Resten af landet (\Landsdels København)</t>
  </si>
  <si>
    <t>Urban region</t>
  </si>
  <si>
    <t>Rural region</t>
  </si>
  <si>
    <t>NRBH</t>
  </si>
  <si>
    <t>Number of inhabitants</t>
  </si>
  <si>
    <t>Abildgreen (2017)</t>
  </si>
  <si>
    <t>Total national wealth, actual prices, mn. DKK</t>
  </si>
  <si>
    <t>Wealth ratios</t>
  </si>
  <si>
    <t>Total wealth/GDP</t>
  </si>
  <si>
    <t>Capital/GDP</t>
  </si>
  <si>
    <t>Urban housing/GDP</t>
  </si>
  <si>
    <t>Rural housing/GDP</t>
  </si>
  <si>
    <t>Wealth inequality</t>
  </si>
  <si>
    <t>Housing</t>
  </si>
  <si>
    <t>Urban price/rural price</t>
  </si>
  <si>
    <t>Urban population share</t>
  </si>
  <si>
    <t>Rural housing density</t>
  </si>
  <si>
    <t>Production</t>
  </si>
  <si>
    <t>Investment/GDP</t>
  </si>
  <si>
    <t>Urban construction/GDP</t>
  </si>
  <si>
    <t>Rural construction/GDP</t>
  </si>
  <si>
    <t>Total labor in construction</t>
  </si>
  <si>
    <t>Raw time series</t>
  </si>
  <si>
    <t>Targets (urban=Capital Region)</t>
  </si>
  <si>
    <t>(OBS: skal bruge net wealth)</t>
  </si>
  <si>
    <t>Real GDP, 2004-prices, mn. DKK</t>
  </si>
  <si>
    <t>Total production capital, 2004-prices, mn. DKK</t>
  </si>
  <si>
    <t>BYGB1</t>
  </si>
  <si>
    <t>Housing, square meters</t>
  </si>
  <si>
    <t>Bruttoinvesteringer</t>
  </si>
  <si>
    <t>Gross investment, actual prices, bn. DKK</t>
  </si>
  <si>
    <t>Gross investment, 2020-prices, bn. DKK</t>
  </si>
  <si>
    <t>Gross investment, 2004-prices, mn. DKK</t>
  </si>
  <si>
    <t>BYGV22</t>
  </si>
  <si>
    <t>Completed new housing, m^2</t>
  </si>
  <si>
    <t>Completed new housing, no. new dwellings</t>
  </si>
  <si>
    <t>BYGV3</t>
  </si>
  <si>
    <t>Extrapolation of BYGV3 &amp; BYGV22</t>
  </si>
  <si>
    <t>Urban housing density</t>
  </si>
  <si>
    <t>Extrapolation of BYGB1 &amp; BYGB11</t>
  </si>
  <si>
    <t>ARE207</t>
  </si>
  <si>
    <t>Total area, Km^2</t>
  </si>
  <si>
    <t>Top 1</t>
  </si>
  <si>
    <t>Top 10</t>
  </si>
  <si>
    <t>Bottom 50</t>
  </si>
  <si>
    <t>WID</t>
  </si>
  <si>
    <t>Targets (urban=Copenhagen City)</t>
  </si>
  <si>
    <t>Housing wealth, mn. DKK</t>
  </si>
  <si>
    <t>Gns. indlånsrente på tværs af banker</t>
  </si>
  <si>
    <t>Forbrugerprisindeks</t>
  </si>
  <si>
    <t>Årlige lønsummer</t>
  </si>
  <si>
    <t>Indeks, 2005=100</t>
  </si>
  <si>
    <t>Real interest rate</t>
  </si>
  <si>
    <t>Wages</t>
  </si>
  <si>
    <t>Data transformation / Extrapolation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</si>
</sst>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1" fillId="0" borderId="0" xfId="0" applyFont="1"/>
    <xf numFmtId="164" fontId="2" fillId="0" borderId="0" xfId="0" applyNumberFormat="1" applyFont="1"/>
    <xf numFmtId="2" fontId="2" fillId="0" borderId="0" xfId="0" applyNumberFormat="1" applyFont="1"/>
    <xf numFmtId="0" fontId="6" fillId="0" borderId="1" xfId="0" applyFont="1" applyBorder="1"/>
    <xf numFmtId="0" fontId="6" fillId="2" borderId="1" xfId="0" applyFont="1" applyFill="1" applyBorder="1"/>
    <xf numFmtId="0" fontId="2" fillId="2" borderId="0" xfId="0" applyFont="1" applyFill="1"/>
    <xf numFmtId="2" fontId="0" fillId="0" borderId="0" xfId="0" applyNumberFormat="1"/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Data!$A$81</c:f>
              <c:strCache>
                <c:ptCount val="1"/>
                <c:pt idx="0">
                  <c:v>Total wealth/GDP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Data!$B$80:$AM$80</c:f>
              <c:strCache>
                <c:ptCount val="38"/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strCache>
            </c:strRef>
          </c:cat>
          <c:val>
            <c:numRef>
              <c:f>Data!$B$81:$AM$81</c:f>
              <c:numCache>
                <c:formatCode>General</c:formatCode>
                <c:ptCount val="38"/>
                <c:pt idx="17" formatCode="0.00">
                  <c:v>1.7545671325428893</c:v>
                </c:pt>
                <c:pt idx="18" formatCode="0.00">
                  <c:v>1.9788887491352745</c:v>
                </c:pt>
                <c:pt idx="19" formatCode="0.00">
                  <c:v>2.3292333254213151</c:v>
                </c:pt>
                <c:pt idx="20" formatCode="0.00">
                  <c:v>2.3653462222477195</c:v>
                </c:pt>
                <c:pt idx="21" formatCode="0.00">
                  <c:v>2.1961010112173289</c:v>
                </c:pt>
                <c:pt idx="22" formatCode="0.00">
                  <c:v>2.0880410523272621</c:v>
                </c:pt>
                <c:pt idx="23" formatCode="0.00">
                  <c:v>2.0397076507253571</c:v>
                </c:pt>
                <c:pt idx="24" formatCode="0.00">
                  <c:v>1.9202017852312685</c:v>
                </c:pt>
                <c:pt idx="25" formatCode="0.00">
                  <c:v>1.8664044587669713</c:v>
                </c:pt>
                <c:pt idx="26" formatCode="0.00">
                  <c:v>1.8395944410002067</c:v>
                </c:pt>
                <c:pt idx="27" formatCode="0.00">
                  <c:v>1.8370600414078675</c:v>
                </c:pt>
                <c:pt idx="28" formatCode="0.00">
                  <c:v>1.8887661314156241</c:v>
                </c:pt>
                <c:pt idx="29" formatCode="0.00">
                  <c:v>1.8805296216987866</c:v>
                </c:pt>
                <c:pt idx="30" formatCode="0.00">
                  <c:v>1.8745414687614177</c:v>
                </c:pt>
                <c:pt idx="31" formatCode="0.00">
                  <c:v>1.8901484287942947</c:v>
                </c:pt>
                <c:pt idx="32" formatCode="0.00">
                  <c:v>1.8771145164090988</c:v>
                </c:pt>
                <c:pt idx="33" formatCode="0.00">
                  <c:v>1.922308089056993</c:v>
                </c:pt>
                <c:pt idx="34" formatCode="0.00">
                  <c:v>1.8563513883993263</c:v>
                </c:pt>
                <c:pt idx="35" formatCode="0.00">
                  <c:v>1.62022957651962</c:v>
                </c:pt>
                <c:pt idx="36" formatCode="0.00">
                  <c:v>1.7178177122565372</c:v>
                </c:pt>
                <c:pt idx="37" formatCode="0.00">
                  <c:v>1.7010318083979636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B4-F641-A273-12B47A8B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75599"/>
        <c:axId val="460279551"/>
      </c:lineChart>
      <c:catAx>
        <c:axId val="18867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60279551"/>
        <c:crosses val="autoZero"/>
        <c:auto val="1"/>
        <c:lblAlgn val="ctr"/>
        <c:lblOffset val="100"/>
        <c:noMultiLvlLbl val="0"/>
      </c:catAx>
      <c:valAx>
        <c:axId val="46027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867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Data!$A$82:$B$82</c:f>
              <c:strCache>
                <c:ptCount val="2"/>
                <c:pt idx="0">
                  <c:v>Capital/GDP</c:v>
                </c:pt>
                <c:pt idx="1">
                  <c:v>(OBS: skal bruge net wealth)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Data!$C$80:$AM$80</c:f>
              <c:strCache>
                <c:ptCount val="37"/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  <c:pt idx="34">
                  <c:v>2022</c:v>
                </c:pt>
                <c:pt idx="35">
                  <c:v>2023</c:v>
                </c:pt>
                <c:pt idx="36">
                  <c:v>2024</c:v>
                </c:pt>
              </c:strCache>
            </c:strRef>
          </c:cat>
          <c:val>
            <c:numRef>
              <c:f>Data!$C$82:$AM$82</c:f>
              <c:numCache>
                <c:formatCode>General</c:formatCode>
                <c:ptCount val="37"/>
                <c:pt idx="2" formatCode="0.00">
                  <c:v>3.7351200222006384</c:v>
                </c:pt>
                <c:pt idx="3" formatCode="0.00">
                  <c:v>3.7341493435448578</c:v>
                </c:pt>
                <c:pt idx="4" formatCode="0.00">
                  <c:v>3.6975375335120644</c:v>
                </c:pt>
                <c:pt idx="5" formatCode="0.00">
                  <c:v>3.7273148645022807</c:v>
                </c:pt>
                <c:pt idx="6" formatCode="0.00">
                  <c:v>3.5524463273236924</c:v>
                </c:pt>
                <c:pt idx="7" formatCode="0.00">
                  <c:v>3.466458513663905</c:v>
                </c:pt>
                <c:pt idx="8" formatCode="0.00">
                  <c:v>3.4001514150093133</c:v>
                </c:pt>
                <c:pt idx="9" formatCode="0.00">
                  <c:v>3.3303925451368666</c:v>
                </c:pt>
                <c:pt idx="10" formatCode="0.00">
                  <c:v>3.2995497751721783</c:v>
                </c:pt>
                <c:pt idx="11" formatCode="0.00">
                  <c:v>3.2553905256757503</c:v>
                </c:pt>
                <c:pt idx="12" formatCode="0.00">
                  <c:v>3.1772484544873163</c:v>
                </c:pt>
                <c:pt idx="13" formatCode="0.00">
                  <c:v>3.2017293987224833</c:v>
                </c:pt>
                <c:pt idx="14" formatCode="0.00">
                  <c:v>3.2347264701245466</c:v>
                </c:pt>
                <c:pt idx="15" formatCode="0.00">
                  <c:v>3.2577010411761629</c:v>
                </c:pt>
                <c:pt idx="16" formatCode="0.00">
                  <c:v>3.2030345143555286</c:v>
                </c:pt>
                <c:pt idx="17" formatCode="0.00">
                  <c:v>3.1638906848361268</c:v>
                </c:pt>
                <c:pt idx="18" formatCode="0.00">
                  <c:v>3.0896019161676649</c:v>
                </c:pt>
                <c:pt idx="19" formatCode="0.00">
                  <c:v>3.126614486978796</c:v>
                </c:pt>
                <c:pt idx="20" formatCode="0.00">
                  <c:v>3.2041732958605249</c:v>
                </c:pt>
                <c:pt idx="21" formatCode="0.00">
                  <c:v>3.423189793463004</c:v>
                </c:pt>
                <c:pt idx="22" formatCode="0.00">
                  <c:v>3.3905907027240425</c:v>
                </c:pt>
                <c:pt idx="23" formatCode="0.00">
                  <c:v>3.34991475888943</c:v>
                </c:pt>
                <c:pt idx="24" formatCode="0.00">
                  <c:v>3.3553119976618442</c:v>
                </c:pt>
                <c:pt idx="25" formatCode="0.00">
                  <c:v>3.322157098246457</c:v>
                </c:pt>
                <c:pt idx="26" formatCode="0.00">
                  <c:v>3.2967136283857501</c:v>
                </c:pt>
                <c:pt idx="27" formatCode="0.00">
                  <c:v>3.2543569968407358</c:v>
                </c:pt>
                <c:pt idx="28" formatCode="0.00">
                  <c:v>3.1893820427296493</c:v>
                </c:pt>
                <c:pt idx="29" formatCode="0.00">
                  <c:v>3.1386892057382787</c:v>
                </c:pt>
                <c:pt idx="30" formatCode="0.00">
                  <c:v>3.130292842114303</c:v>
                </c:pt>
                <c:pt idx="31" formatCode="0.00">
                  <c:v>3.1288682033096928</c:v>
                </c:pt>
                <c:pt idx="32" formatCode="0.00">
                  <c:v>3.2288571305768072</c:v>
                </c:pt>
                <c:pt idx="33" formatCode="0.00">
                  <c:v>3.076458148357414</c:v>
                </c:pt>
                <c:pt idx="34" formatCode="0.00">
                  <c:v>3.1287170523947285</c:v>
                </c:pt>
                <c:pt idx="35" formatCode="0.00">
                  <c:v>3.1840824314070049</c:v>
                </c:pt>
                <c:pt idx="36" formatCode="0.00">
                  <c:v>3.1311381705905057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0D43-80FC-7ACCB496D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34703"/>
        <c:axId val="334717391"/>
      </c:lineChart>
      <c:catAx>
        <c:axId val="18823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34717391"/>
        <c:crosses val="autoZero"/>
        <c:auto val="1"/>
        <c:lblAlgn val="ctr"/>
        <c:lblOffset val="100"/>
        <c:noMultiLvlLbl val="0"/>
      </c:catAx>
      <c:valAx>
        <c:axId val="3347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823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of housing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Data!$A$83</c:f>
              <c:strCache>
                <c:ptCount val="1"/>
                <c:pt idx="0">
                  <c:v>Urban housing/GDP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Data!$B$80:$AM$80</c:f>
              <c:strCache>
                <c:ptCount val="38"/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strCache>
            </c:strRef>
          </c:cat>
          <c:val>
            <c:numRef>
              <c:f>Data!$B$83:$AM$83</c:f>
              <c:numCache>
                <c:formatCode>General</c:formatCode>
                <c:ptCount val="38"/>
                <c:pt idx="5" formatCode="0.00">
                  <c:v>1.9230952735569365E-2</c:v>
                </c:pt>
                <c:pt idx="6" formatCode="0.00">
                  <c:v>3.2164553173241114E-2</c:v>
                </c:pt>
                <c:pt idx="7" formatCode="0.00">
                  <c:v>5.3548661650573412E-2</c:v>
                </c:pt>
                <c:pt idx="8" formatCode="0.00">
                  <c:v>8.8548275081133554E-2</c:v>
                </c:pt>
                <c:pt idx="9" formatCode="0.00">
                  <c:v>0.14229885064329623</c:v>
                </c:pt>
                <c:pt idx="10" formatCode="0.00">
                  <c:v>0.21800840797086982</c:v>
                </c:pt>
                <c:pt idx="11" formatCode="0.00">
                  <c:v>0.30600990207617612</c:v>
                </c:pt>
                <c:pt idx="12" formatCode="0.00">
                  <c:v>0.39683971965310161</c:v>
                </c:pt>
                <c:pt idx="13" formatCode="0.00">
                  <c:v>0.48484674261313843</c:v>
                </c:pt>
                <c:pt idx="14" formatCode="0.00">
                  <c:v>0.58644463524857293</c:v>
                </c:pt>
                <c:pt idx="15" formatCode="0.00">
                  <c:v>0.67224109925008002</c:v>
                </c:pt>
                <c:pt idx="16" formatCode="0.00">
                  <c:v>0.73971885337267607</c:v>
                </c:pt>
                <c:pt idx="17" formatCode="0.00">
                  <c:v>0.79158414070656813</c:v>
                </c:pt>
                <c:pt idx="18" formatCode="0.00">
                  <c:v>0.95187204454452556</c:v>
                </c:pt>
                <c:pt idx="19" formatCode="0.00">
                  <c:v>1.1455197031698883</c:v>
                </c:pt>
                <c:pt idx="20" formatCode="0.00">
                  <c:v>1.0926769265233247</c:v>
                </c:pt>
                <c:pt idx="21" formatCode="0.00">
                  <c:v>0.94730590109460711</c:v>
                </c:pt>
                <c:pt idx="22" formatCode="0.00">
                  <c:v>0.84418706086161688</c:v>
                </c:pt>
                <c:pt idx="23" formatCode="0.00">
                  <c:v>0.88449052375077308</c:v>
                </c:pt>
                <c:pt idx="24" formatCode="0.00">
                  <c:v>0.84786703489315662</c:v>
                </c:pt>
                <c:pt idx="25" formatCode="0.00">
                  <c:v>0.79003450882244175</c:v>
                </c:pt>
                <c:pt idx="26" formatCode="0.00">
                  <c:v>0.8075445320572433</c:v>
                </c:pt>
                <c:pt idx="27" formatCode="0.00">
                  <c:v>0.83268081401807814</c:v>
                </c:pt>
                <c:pt idx="28" formatCode="0.00">
                  <c:v>0.89071730925524584</c:v>
                </c:pt>
                <c:pt idx="29" formatCode="0.00">
                  <c:v>0.91572335593623611</c:v>
                </c:pt>
                <c:pt idx="30" formatCode="0.00">
                  <c:v>0.93996996654640119</c:v>
                </c:pt>
                <c:pt idx="31" formatCode="0.00">
                  <c:v>0.97366117361265869</c:v>
                </c:pt>
                <c:pt idx="32" formatCode="0.00">
                  <c:v>0.98936389238583089</c:v>
                </c:pt>
                <c:pt idx="33" formatCode="0.00">
                  <c:v>1.0522361127826012</c:v>
                </c:pt>
                <c:pt idx="34" formatCode="0.00">
                  <c:v>1.1450092811263854</c:v>
                </c:pt>
                <c:pt idx="35" formatCode="0.00">
                  <c:v>1.0639453457775581</c:v>
                </c:pt>
                <c:pt idx="36" formatCode="0.00">
                  <c:v>1.0461350027798701</c:v>
                </c:pt>
                <c:pt idx="37" formatCode="0.00">
                  <c:v>1.0774063074413203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C-4241-A123-87743F87FC1F}"/>
            </c:ext>
          </c:extLst>
        </c:ser>
        <c:ser>
          <c:idx val="1"/>
          <c:order val="1"/>
          <c:tx>
            <c:strRef>
              <c:f>Data!$A$84</c:f>
              <c:strCache>
                <c:ptCount val="1"/>
                <c:pt idx="0">
                  <c:v>Rural housing/GDP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Data!$B$80:$AM$80</c:f>
              <c:strCache>
                <c:ptCount val="38"/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strCache>
            </c:strRef>
          </c:cat>
          <c:val>
            <c:numRef>
              <c:f>Data!$B$84:$AM$84</c:f>
              <c:numCache>
                <c:formatCode>General</c:formatCode>
                <c:ptCount val="38"/>
                <c:pt idx="5" formatCode="0.00">
                  <c:v>0.11238129624142701</c:v>
                </c:pt>
                <c:pt idx="6" formatCode="0.00">
                  <c:v>0.16087230848380443</c:v>
                </c:pt>
                <c:pt idx="7" formatCode="0.00">
                  <c:v>0.22361827218075231</c:v>
                </c:pt>
                <c:pt idx="8" formatCode="0.00">
                  <c:v>0.31097403241657229</c:v>
                </c:pt>
                <c:pt idx="9" formatCode="0.00">
                  <c:v>0.42548233678074493</c:v>
                </c:pt>
                <c:pt idx="10" formatCode="0.00">
                  <c:v>0.54338271353816892</c:v>
                </c:pt>
                <c:pt idx="11" formatCode="0.00">
                  <c:v>0.655108754972482</c:v>
                </c:pt>
                <c:pt idx="12" formatCode="0.00">
                  <c:v>0.74560255213506665</c:v>
                </c:pt>
                <c:pt idx="13" formatCode="0.00">
                  <c:v>0.81545453163035353</c:v>
                </c:pt>
                <c:pt idx="14" formatCode="0.00">
                  <c:v>0.89882415323274756</c:v>
                </c:pt>
                <c:pt idx="15" formatCode="0.00">
                  <c:v>0.97304298349383012</c:v>
                </c:pt>
                <c:pt idx="16" formatCode="0.00">
                  <c:v>1.0405873382587316</c:v>
                </c:pt>
                <c:pt idx="17" formatCode="0.00">
                  <c:v>1.0830835189511252</c:v>
                </c:pt>
                <c:pt idx="18" formatCode="0.00">
                  <c:v>1.1902179454654487</c:v>
                </c:pt>
                <c:pt idx="19" formatCode="0.00">
                  <c:v>1.3771791699719682</c:v>
                </c:pt>
                <c:pt idx="20" formatCode="0.00">
                  <c:v>1.440400434007397</c:v>
                </c:pt>
                <c:pt idx="21" formatCode="0.00">
                  <c:v>1.3792617061417654</c:v>
                </c:pt>
                <c:pt idx="22" formatCode="0.00">
                  <c:v>1.3241132047231801</c:v>
                </c:pt>
                <c:pt idx="23" formatCode="0.00">
                  <c:v>1.283075450801634</c:v>
                </c:pt>
                <c:pt idx="24" formatCode="0.00">
                  <c:v>1.2152641969357394</c:v>
                </c:pt>
                <c:pt idx="25" formatCode="0.00">
                  <c:v>1.142550480743832</c:v>
                </c:pt>
                <c:pt idx="26" formatCode="0.00">
                  <c:v>1.1242586750509256</c:v>
                </c:pt>
                <c:pt idx="27" formatCode="0.00">
                  <c:v>1.110583318328392</c:v>
                </c:pt>
                <c:pt idx="28" formatCode="0.00">
                  <c:v>1.1515379324697075</c:v>
                </c:pt>
                <c:pt idx="29" formatCode="0.00">
                  <c:v>1.1540644682369736</c:v>
                </c:pt>
                <c:pt idx="30" formatCode="0.00">
                  <c:v>1.1592265073529411</c:v>
                </c:pt>
                <c:pt idx="31" formatCode="0.00">
                  <c:v>1.1903277184564933</c:v>
                </c:pt>
                <c:pt idx="32" formatCode="0.00">
                  <c:v>1.2024360046697096</c:v>
                </c:pt>
                <c:pt idx="33" formatCode="0.00">
                  <c:v>1.2442612517038967</c:v>
                </c:pt>
                <c:pt idx="34" formatCode="0.00">
                  <c:v>1.2523156736660119</c:v>
                </c:pt>
                <c:pt idx="35" formatCode="0.00">
                  <c:v>1.1525391502136828</c:v>
                </c:pt>
                <c:pt idx="36" formatCode="0.00">
                  <c:v>1.1562714971586396</c:v>
                </c:pt>
                <c:pt idx="37" formatCode="0.00">
                  <c:v>1.1573073653011721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C-4241-A123-87743F87F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46207"/>
        <c:axId val="209706959"/>
      </c:lineChart>
      <c:catAx>
        <c:axId val="2089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9706959"/>
        <c:crosses val="autoZero"/>
        <c:auto val="1"/>
        <c:lblAlgn val="ctr"/>
        <c:lblOffset val="100"/>
        <c:noMultiLvlLbl val="0"/>
      </c:catAx>
      <c:valAx>
        <c:axId val="20970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89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Urban price/rural</a:t>
            </a:r>
            <a:r>
              <a:rPr lang="en-GB" baseline="0"/>
              <a:t> price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Data!$G$80:$AM$80</c:f>
              <c:strCache>
                <c:ptCount val="3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</c:strCache>
            </c:strRef>
          </c:cat>
          <c:val>
            <c:numRef>
              <c:f>Data!$G$92:$AM$92</c:f>
              <c:numCache>
                <c:formatCode>0.00</c:formatCode>
                <c:ptCount val="33"/>
                <c:pt idx="0">
                  <c:v>1.5490006904836224</c:v>
                </c:pt>
                <c:pt idx="1">
                  <c:v>1.5180342651036971</c:v>
                </c:pt>
                <c:pt idx="2">
                  <c:v>1.5322668605708054</c:v>
                </c:pt>
                <c:pt idx="3">
                  <c:v>1.5549678012879484</c:v>
                </c:pt>
                <c:pt idx="4">
                  <c:v>1.5245288289082946</c:v>
                </c:pt>
                <c:pt idx="5">
                  <c:v>1.5753674028010312</c:v>
                </c:pt>
                <c:pt idx="6">
                  <c:v>1.6183071732433623</c:v>
                </c:pt>
                <c:pt idx="7">
                  <c:v>1.6603532992162131</c:v>
                </c:pt>
                <c:pt idx="8">
                  <c:v>1.7001333772524287</c:v>
                </c:pt>
                <c:pt idx="9">
                  <c:v>1.7700116474699106</c:v>
                </c:pt>
                <c:pt idx="10">
                  <c:v>1.8309238399293217</c:v>
                </c:pt>
                <c:pt idx="11">
                  <c:v>1.8403695462900262</c:v>
                </c:pt>
                <c:pt idx="12">
                  <c:v>1.9051547684631545</c:v>
                </c:pt>
                <c:pt idx="13">
                  <c:v>2.095904384836961</c:v>
                </c:pt>
                <c:pt idx="14">
                  <c:v>2.1888114364827662</c:v>
                </c:pt>
                <c:pt idx="15">
                  <c:v>2.0052534709357142</c:v>
                </c:pt>
                <c:pt idx="16">
                  <c:v>1.8215160125950389</c:v>
                </c:pt>
                <c:pt idx="17">
                  <c:v>1.7002884778550822</c:v>
                </c:pt>
                <c:pt idx="18">
                  <c:v>1.8459161296852331</c:v>
                </c:pt>
                <c:pt idx="19">
                  <c:v>1.8760481802218993</c:v>
                </c:pt>
                <c:pt idx="20">
                  <c:v>1.8622913072744061</c:v>
                </c:pt>
                <c:pt idx="21">
                  <c:v>1.9404472443265548</c:v>
                </c:pt>
                <c:pt idx="22">
                  <c:v>2.0257850948499541</c:v>
                </c:pt>
                <c:pt idx="23">
                  <c:v>2.08697146547145</c:v>
                </c:pt>
                <c:pt idx="24">
                  <c:v>2.1361901620806636</c:v>
                </c:pt>
                <c:pt idx="25">
                  <c:v>2.177744026839552</c:v>
                </c:pt>
                <c:pt idx="26">
                  <c:v>2.1873953729614231</c:v>
                </c:pt>
                <c:pt idx="27">
                  <c:v>2.1941260853152134</c:v>
                </c:pt>
                <c:pt idx="28">
                  <c:v>2.2517234823556942</c:v>
                </c:pt>
                <c:pt idx="29">
                  <c:v>2.4346146013098515</c:v>
                </c:pt>
                <c:pt idx="30">
                  <c:v>2.4507361689470555</c:v>
                </c:pt>
                <c:pt idx="31">
                  <c:v>2.4012120750321797</c:v>
                </c:pt>
                <c:pt idx="32">
                  <c:v>2.4672886675933854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A-4144-B4DF-C8C1B84C1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521759"/>
        <c:axId val="457877471"/>
      </c:lineChart>
      <c:catAx>
        <c:axId val="29552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57877471"/>
        <c:crosses val="autoZero"/>
        <c:auto val="1"/>
        <c:lblAlgn val="ctr"/>
        <c:lblOffset val="100"/>
        <c:noMultiLvlLbl val="0"/>
      </c:catAx>
      <c:valAx>
        <c:axId val="45787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9552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Data!$A$93</c:f>
              <c:strCache>
                <c:ptCount val="1"/>
                <c:pt idx="0">
                  <c:v>Urban population 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Data!$B$80:$AM$80</c:f>
              <c:strCache>
                <c:ptCount val="38"/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strCache>
            </c:strRef>
          </c:cat>
          <c:val>
            <c:numRef>
              <c:f>Data!$B$93:$AM$93</c:f>
              <c:numCache>
                <c:formatCode>General</c:formatCode>
                <c:ptCount val="38"/>
                <c:pt idx="5" formatCode="0.00">
                  <c:v>0.3</c:v>
                </c:pt>
                <c:pt idx="6" formatCode="0.00">
                  <c:v>0.29882165814982525</c:v>
                </c:pt>
                <c:pt idx="7" formatCode="0.00">
                  <c:v>0.29892848354266827</c:v>
                </c:pt>
                <c:pt idx="8" formatCode="0.00">
                  <c:v>0.29925100543080813</c:v>
                </c:pt>
                <c:pt idx="9" formatCode="0.00">
                  <c:v>0.29975471528883091</c:v>
                </c:pt>
                <c:pt idx="10" formatCode="0.00">
                  <c:v>0.30047533422026057</c:v>
                </c:pt>
                <c:pt idx="11" formatCode="0.00">
                  <c:v>0.30094872388124294</c:v>
                </c:pt>
                <c:pt idx="12" formatCode="0.00">
                  <c:v>0.30157620050386091</c:v>
                </c:pt>
                <c:pt idx="13" formatCode="0.00">
                  <c:v>0.30213650261843655</c:v>
                </c:pt>
                <c:pt idx="14" formatCode="0.00">
                  <c:v>0.30241493592370017</c:v>
                </c:pt>
                <c:pt idx="15" formatCode="0.00">
                  <c:v>0.30233751738186149</c:v>
                </c:pt>
                <c:pt idx="16" formatCode="0.00">
                  <c:v>0.30205522902684673</c:v>
                </c:pt>
                <c:pt idx="17" formatCode="0.00">
                  <c:v>0.30164481477094379</c:v>
                </c:pt>
                <c:pt idx="18" formatCode="0.00">
                  <c:v>0.30129634096445201</c:v>
                </c:pt>
                <c:pt idx="19" formatCode="0.00">
                  <c:v>0.3007412876354944</c:v>
                </c:pt>
                <c:pt idx="20" formatCode="0.00">
                  <c:v>0.30047566121083824</c:v>
                </c:pt>
                <c:pt idx="21" formatCode="0.00">
                  <c:v>0.30103777250130448</c:v>
                </c:pt>
                <c:pt idx="22" formatCode="0.00">
                  <c:v>0.30257281549882048</c:v>
                </c:pt>
                <c:pt idx="23" formatCode="0.00">
                  <c:v>0.30462113259939905</c:v>
                </c:pt>
                <c:pt idx="24" formatCode="0.00">
                  <c:v>0.30640857001339089</c:v>
                </c:pt>
                <c:pt idx="25" formatCode="0.00">
                  <c:v>0.30817991081729351</c:v>
                </c:pt>
                <c:pt idx="26" formatCode="0.00">
                  <c:v>0.31001326679330721</c:v>
                </c:pt>
                <c:pt idx="27" formatCode="0.00">
                  <c:v>0.31167188963283299</c:v>
                </c:pt>
                <c:pt idx="28" formatCode="0.00">
                  <c:v>0.3129596059727065</c:v>
                </c:pt>
                <c:pt idx="29" formatCode="0.00">
                  <c:v>0.31390955656659603</c:v>
                </c:pt>
                <c:pt idx="30" formatCode="0.00">
                  <c:v>0.3148505759567522</c:v>
                </c:pt>
                <c:pt idx="31" formatCode="0.00">
                  <c:v>0.31570481067224865</c:v>
                </c:pt>
                <c:pt idx="32" formatCode="0.00">
                  <c:v>0.31673852575409062</c:v>
                </c:pt>
                <c:pt idx="33" formatCode="0.00">
                  <c:v>0.31730964682077284</c:v>
                </c:pt>
                <c:pt idx="34" formatCode="0.00">
                  <c:v>0.31777050502013865</c:v>
                </c:pt>
                <c:pt idx="35" formatCode="0.00">
                  <c:v>0.31834887160251152</c:v>
                </c:pt>
                <c:pt idx="36" formatCode="0.00">
                  <c:v>0.31986855384855412</c:v>
                </c:pt>
                <c:pt idx="37" formatCode="0.00">
                  <c:v>0.32149178005777668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7-2343-90C4-5979F1AB3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08543"/>
        <c:axId val="335483615"/>
      </c:lineChart>
      <c:catAx>
        <c:axId val="20890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35483615"/>
        <c:crosses val="autoZero"/>
        <c:auto val="1"/>
        <c:lblAlgn val="ctr"/>
        <c:lblOffset val="100"/>
        <c:noMultiLvlLbl val="0"/>
      </c:catAx>
      <c:valAx>
        <c:axId val="33548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890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Data!$A$98</c:f>
              <c:strCache>
                <c:ptCount val="1"/>
                <c:pt idx="0">
                  <c:v>Investment/GDP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Data!$B$80:$AM$80</c:f>
              <c:strCache>
                <c:ptCount val="38"/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strCache>
            </c:strRef>
          </c:cat>
          <c:val>
            <c:numRef>
              <c:f>Data!$B$98:$AM$98</c:f>
              <c:numCache>
                <c:formatCode>General</c:formatCode>
                <c:ptCount val="38"/>
                <c:pt idx="3" formatCode="0.00">
                  <c:v>0.16059451227007765</c:v>
                </c:pt>
                <c:pt idx="4" formatCode="0.00">
                  <c:v>0.15219795248530563</c:v>
                </c:pt>
                <c:pt idx="5" formatCode="0.00">
                  <c:v>0.15139399759600625</c:v>
                </c:pt>
                <c:pt idx="6" formatCode="0.00">
                  <c:v>0.13956704847738344</c:v>
                </c:pt>
                <c:pt idx="7" formatCode="0.00">
                  <c:v>0.15045155431565985</c:v>
                </c:pt>
                <c:pt idx="8" formatCode="0.00">
                  <c:v>0.16730351670648316</c:v>
                </c:pt>
                <c:pt idx="9" formatCode="0.00">
                  <c:v>0.16429920161327444</c:v>
                </c:pt>
                <c:pt idx="10" formatCode="0.00">
                  <c:v>0.18203782130457105</c:v>
                </c:pt>
                <c:pt idx="11" formatCode="0.00">
                  <c:v>0.18851307268358422</c:v>
                </c:pt>
                <c:pt idx="12" formatCode="0.00">
                  <c:v>0.17424230299813484</c:v>
                </c:pt>
                <c:pt idx="13" formatCode="0.00">
                  <c:v>0.1876645824396441</c:v>
                </c:pt>
                <c:pt idx="14" formatCode="0.00">
                  <c:v>0.18307987126737776</c:v>
                </c:pt>
                <c:pt idx="15" formatCode="0.00">
                  <c:v>0.17988804848837128</c:v>
                </c:pt>
                <c:pt idx="16" formatCode="0.00">
                  <c:v>0.17837683845762087</c:v>
                </c:pt>
                <c:pt idx="17" formatCode="0.00">
                  <c:v>0.18538097297400127</c:v>
                </c:pt>
                <c:pt idx="18" formatCode="0.00">
                  <c:v>0.1914784738285783</c:v>
                </c:pt>
                <c:pt idx="19" formatCode="0.00">
                  <c:v>0.20783452896208851</c:v>
                </c:pt>
                <c:pt idx="20" formatCode="0.00">
                  <c:v>0.21142236984906329</c:v>
                </c:pt>
                <c:pt idx="21" formatCode="0.00">
                  <c:v>0.2031671953561574</c:v>
                </c:pt>
                <c:pt idx="22" formatCode="0.00">
                  <c:v>0.16750395618440977</c:v>
                </c:pt>
                <c:pt idx="23" formatCode="0.00">
                  <c:v>0.16167469180525298</c:v>
                </c:pt>
                <c:pt idx="24" formatCode="0.00">
                  <c:v>0.16959840051936903</c:v>
                </c:pt>
                <c:pt idx="25" formatCode="0.00">
                  <c:v>0.17211140165828323</c:v>
                </c:pt>
                <c:pt idx="26" formatCode="0.00">
                  <c:v>0.1752165792745215</c:v>
                </c:pt>
                <c:pt idx="27" formatCode="0.00">
                  <c:v>0.18363343866577073</c:v>
                </c:pt>
                <c:pt idx="28" formatCode="0.00">
                  <c:v>0.18731942955312175</c:v>
                </c:pt>
                <c:pt idx="29" formatCode="0.00">
                  <c:v>0.19563608643211453</c:v>
                </c:pt>
                <c:pt idx="30" formatCode="0.00">
                  <c:v>0.19871005901220046</c:v>
                </c:pt>
                <c:pt idx="31" formatCode="0.00">
                  <c:v>0.20300859418326514</c:v>
                </c:pt>
                <c:pt idx="32" formatCode="0.00">
                  <c:v>0.19683697174557174</c:v>
                </c:pt>
                <c:pt idx="33" formatCode="0.00">
                  <c:v>0.20901075088679699</c:v>
                </c:pt>
                <c:pt idx="34" formatCode="0.00">
                  <c:v>0.22312321105926741</c:v>
                </c:pt>
                <c:pt idx="35" formatCode="0.00">
                  <c:v>0.23412750792598472</c:v>
                </c:pt>
                <c:pt idx="36" formatCode="0.00">
                  <c:v>0.21089620277254487</c:v>
                </c:pt>
                <c:pt idx="37" formatCode="0.00">
                  <c:v>0.20717329380309712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F-4D44-9078-0660FC9B5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244943"/>
        <c:axId val="208964159"/>
      </c:lineChart>
      <c:catAx>
        <c:axId val="33524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8964159"/>
        <c:crosses val="autoZero"/>
        <c:auto val="1"/>
        <c:lblAlgn val="ctr"/>
        <c:lblOffset val="100"/>
        <c:noMultiLvlLbl val="0"/>
      </c:catAx>
      <c:valAx>
        <c:axId val="20896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3524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Data!$A$99</c:f>
              <c:strCache>
                <c:ptCount val="1"/>
                <c:pt idx="0">
                  <c:v>Urban construction/GDP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Data!$B$80:$AM$80</c:f>
              <c:strCache>
                <c:ptCount val="38"/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strCache>
            </c:strRef>
          </c:cat>
          <c:val>
            <c:numRef>
              <c:f>Data!$B$99:$AM$99</c:f>
              <c:numCache>
                <c:formatCode>General</c:formatCode>
                <c:ptCount val="38"/>
                <c:pt idx="5" formatCode="0.000">
                  <c:v>2.7675079549050962E-3</c:v>
                </c:pt>
                <c:pt idx="6" formatCode="0.000">
                  <c:v>2.0289941385157931E-3</c:v>
                </c:pt>
                <c:pt idx="7" formatCode="0.000">
                  <c:v>2.6000643454929541E-3</c:v>
                </c:pt>
                <c:pt idx="8" formatCode="0.000">
                  <c:v>2.8544857471796861E-3</c:v>
                </c:pt>
                <c:pt idx="9" formatCode="0.000">
                  <c:v>2.8695660711739427E-3</c:v>
                </c:pt>
                <c:pt idx="10" formatCode="0.000">
                  <c:v>2.5783394344123566E-3</c:v>
                </c:pt>
                <c:pt idx="11" formatCode="0.000">
                  <c:v>3.1155112108863943E-3</c:v>
                </c:pt>
                <c:pt idx="12" formatCode="0.000">
                  <c:v>2.8629518621849904E-3</c:v>
                </c:pt>
                <c:pt idx="13" formatCode="0.000">
                  <c:v>3.1210117405164554E-3</c:v>
                </c:pt>
                <c:pt idx="14" formatCode="0.000">
                  <c:v>3.3717148224628696E-3</c:v>
                </c:pt>
                <c:pt idx="15" formatCode="0.000">
                  <c:v>4.0623749884526987E-3</c:v>
                </c:pt>
                <c:pt idx="16" formatCode="0.000">
                  <c:v>4.2819952298482752E-3</c:v>
                </c:pt>
                <c:pt idx="17" formatCode="0.000">
                  <c:v>5.3461635487129311E-3</c:v>
                </c:pt>
                <c:pt idx="18" formatCode="0.000">
                  <c:v>9.7144409503887533E-3</c:v>
                </c:pt>
                <c:pt idx="19" formatCode="0.000">
                  <c:v>1.3282893800300698E-2</c:v>
                </c:pt>
                <c:pt idx="20" formatCode="0.000">
                  <c:v>3.6962258476848061E-3</c:v>
                </c:pt>
                <c:pt idx="21" formatCode="0.000">
                  <c:v>3.1725996560815141E-3</c:v>
                </c:pt>
                <c:pt idx="22" formatCode="0.000">
                  <c:v>2.5640611388355835E-3</c:v>
                </c:pt>
                <c:pt idx="23" formatCode="0.000">
                  <c:v>1.9861245686542198E-3</c:v>
                </c:pt>
                <c:pt idx="24" formatCode="0.000">
                  <c:v>1.6564998289873561E-3</c:v>
                </c:pt>
                <c:pt idx="25" formatCode="0.000">
                  <c:v>1.8894408074384122E-3</c:v>
                </c:pt>
                <c:pt idx="26" formatCode="0.000">
                  <c:v>1.8093861268524555E-3</c:v>
                </c:pt>
                <c:pt idx="27" formatCode="0.000">
                  <c:v>1.8531508769836942E-3</c:v>
                </c:pt>
                <c:pt idx="28" formatCode="0.000">
                  <c:v>2.1131555813945152E-3</c:v>
                </c:pt>
                <c:pt idx="29" formatCode="0.000">
                  <c:v>2.4853845931618371E-3</c:v>
                </c:pt>
                <c:pt idx="30" formatCode="0.000">
                  <c:v>3.0841138852700516E-3</c:v>
                </c:pt>
                <c:pt idx="31" formatCode="0.000">
                  <c:v>3.3944054571092503E-3</c:v>
                </c:pt>
                <c:pt idx="32" formatCode="0.000">
                  <c:v>3.6808649498272367E-3</c:v>
                </c:pt>
                <c:pt idx="33" formatCode="0.000">
                  <c:v>3.3538455203868875E-3</c:v>
                </c:pt>
                <c:pt idx="34" formatCode="0.000">
                  <c:v>4.3529033419332126E-3</c:v>
                </c:pt>
                <c:pt idx="35" formatCode="0.000">
                  <c:v>3.9172630281167483E-3</c:v>
                </c:pt>
                <c:pt idx="36" formatCode="0.000">
                  <c:v>4.2139266359170029E-3</c:v>
                </c:pt>
                <c:pt idx="37" formatCode="0.000">
                  <c:v>2.7624919735277421E-3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1-5240-81EF-CE55887BC5CC}"/>
            </c:ext>
          </c:extLst>
        </c:ser>
        <c:ser>
          <c:idx val="1"/>
          <c:order val="1"/>
          <c:tx>
            <c:strRef>
              <c:f>Data!$A$100</c:f>
              <c:strCache>
                <c:ptCount val="1"/>
                <c:pt idx="0">
                  <c:v>Rural construction/GDP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Data!$B$80:$AM$80</c:f>
              <c:strCache>
                <c:ptCount val="38"/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strCache>
            </c:strRef>
          </c:cat>
          <c:val>
            <c:numRef>
              <c:f>Data!$B$100:$AM$100</c:f>
              <c:numCache>
                <c:formatCode>General</c:formatCode>
                <c:ptCount val="38"/>
                <c:pt idx="5" formatCode="0.000">
                  <c:v>1.7433006768084243E-2</c:v>
                </c:pt>
                <c:pt idx="6" formatCode="0.000">
                  <c:v>1.6361029017646665E-2</c:v>
                </c:pt>
                <c:pt idx="7" formatCode="0.000">
                  <c:v>1.4869939510792726E-2</c:v>
                </c:pt>
                <c:pt idx="8" formatCode="0.000">
                  <c:v>1.4366788412762864E-2</c:v>
                </c:pt>
                <c:pt idx="9" formatCode="0.000">
                  <c:v>1.7270965113861662E-2</c:v>
                </c:pt>
                <c:pt idx="10" formatCode="0.000">
                  <c:v>2.5672747289180779E-2</c:v>
                </c:pt>
                <c:pt idx="11" formatCode="0.000">
                  <c:v>2.7221894152891075E-2</c:v>
                </c:pt>
                <c:pt idx="12" formatCode="0.000">
                  <c:v>2.7690922028608712E-2</c:v>
                </c:pt>
                <c:pt idx="13" formatCode="0.000">
                  <c:v>2.5872792352960201E-2</c:v>
                </c:pt>
                <c:pt idx="14" formatCode="0.000">
                  <c:v>2.8638815779933574E-2</c:v>
                </c:pt>
                <c:pt idx="15" formatCode="0.000">
                  <c:v>3.1187244481181167E-2</c:v>
                </c:pt>
                <c:pt idx="16" formatCode="0.000">
                  <c:v>4.2835296176955695E-2</c:v>
                </c:pt>
                <c:pt idx="17" formatCode="0.000">
                  <c:v>4.9100291779477806E-2</c:v>
                </c:pt>
                <c:pt idx="18" formatCode="0.000">
                  <c:v>5.085609673496478E-2</c:v>
                </c:pt>
                <c:pt idx="19" formatCode="0.000">
                  <c:v>6.0913299757133478E-2</c:v>
                </c:pt>
                <c:pt idx="20" formatCode="0.000">
                  <c:v>1.5775179834696684E-2</c:v>
                </c:pt>
                <c:pt idx="21" formatCode="0.000">
                  <c:v>1.7388786694420323E-2</c:v>
                </c:pt>
                <c:pt idx="22" formatCode="0.000">
                  <c:v>1.4475531868208619E-2</c:v>
                </c:pt>
                <c:pt idx="23" formatCode="0.000">
                  <c:v>9.8498017519593473E-3</c:v>
                </c:pt>
                <c:pt idx="24" formatCode="0.000">
                  <c:v>8.1940163882944991E-3</c:v>
                </c:pt>
                <c:pt idx="25" formatCode="0.000">
                  <c:v>8.2049040569868153E-3</c:v>
                </c:pt>
                <c:pt idx="26" formatCode="0.000">
                  <c:v>7.7202384216313296E-3</c:v>
                </c:pt>
                <c:pt idx="27" formatCode="0.000">
                  <c:v>8.2940128386416786E-3</c:v>
                </c:pt>
                <c:pt idx="28" formatCode="0.000">
                  <c:v>7.7692546807191813E-3</c:v>
                </c:pt>
                <c:pt idx="29" formatCode="0.000">
                  <c:v>7.607492496915033E-3</c:v>
                </c:pt>
                <c:pt idx="30" formatCode="0.000">
                  <c:v>8.9119075144341395E-3</c:v>
                </c:pt>
                <c:pt idx="31" formatCode="0.000">
                  <c:v>9.2242640928564303E-3</c:v>
                </c:pt>
                <c:pt idx="32" formatCode="0.000">
                  <c:v>1.0543331269816984E-2</c:v>
                </c:pt>
                <c:pt idx="33" formatCode="0.000">
                  <c:v>1.0457624360487319E-2</c:v>
                </c:pt>
                <c:pt idx="34" formatCode="0.000">
                  <c:v>1.0726884840631964E-2</c:v>
                </c:pt>
                <c:pt idx="35" formatCode="0.000">
                  <c:v>1.2610289637759398E-2</c:v>
                </c:pt>
                <c:pt idx="36" formatCode="0.000">
                  <c:v>1.2580726217185111E-2</c:v>
                </c:pt>
                <c:pt idx="37" formatCode="0.000">
                  <c:v>9.7172877923963306E-3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11-5240-81EF-CE55887BC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888767"/>
        <c:axId val="361877935"/>
      </c:lineChart>
      <c:catAx>
        <c:axId val="36188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61877935"/>
        <c:crosses val="autoZero"/>
        <c:auto val="1"/>
        <c:lblAlgn val="ctr"/>
        <c:lblOffset val="100"/>
        <c:noMultiLvlLbl val="0"/>
      </c:catAx>
      <c:valAx>
        <c:axId val="36187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6188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12700</xdr:rowOff>
    </xdr:from>
    <xdr:to>
      <xdr:col>9</xdr:col>
      <xdr:colOff>812800</xdr:colOff>
      <xdr:row>28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BD8FF-F55B-3A47-9D34-33FAA5494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190500</xdr:rowOff>
    </xdr:from>
    <xdr:to>
      <xdr:col>18</xdr:col>
      <xdr:colOff>812800</xdr:colOff>
      <xdr:row>28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FCD54-01C5-CA40-85AE-5CAB3D364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190500</xdr:rowOff>
    </xdr:from>
    <xdr:to>
      <xdr:col>10</xdr:col>
      <xdr:colOff>0</xdr:colOff>
      <xdr:row>55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DA16AA-AE23-2B47-B680-1716827FC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28</xdr:row>
      <xdr:rowOff>190500</xdr:rowOff>
    </xdr:from>
    <xdr:to>
      <xdr:col>19</xdr:col>
      <xdr:colOff>0</xdr:colOff>
      <xdr:row>55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2D347E-08A0-5A40-8813-3C8E71975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54</xdr:row>
      <xdr:rowOff>183615</xdr:rowOff>
    </xdr:from>
    <xdr:to>
      <xdr:col>9</xdr:col>
      <xdr:colOff>810963</xdr:colOff>
      <xdr:row>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3C1548-DDA1-FF48-9C5C-5A47C96EA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-1</xdr:colOff>
      <xdr:row>55</xdr:row>
      <xdr:rowOff>0</xdr:rowOff>
    </xdr:from>
    <xdr:to>
      <xdr:col>18</xdr:col>
      <xdr:colOff>749758</xdr:colOff>
      <xdr:row>80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41EA3C-E17D-6241-AA07-5BCA78BCF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80</xdr:row>
      <xdr:rowOff>0</xdr:rowOff>
    </xdr:from>
    <xdr:to>
      <xdr:col>10</xdr:col>
      <xdr:colOff>0</xdr:colOff>
      <xdr:row>105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768B21-ECE6-2449-A267-369E5FB6B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olit/Makro%20II/HPFilter.xla" TargetMode="External"/><Relationship Id="rId2" Type="http://schemas.openxmlformats.org/officeDocument/2006/relationships/externalLinkPath" Target="/Users/felixwohlert/Desktop/Polit/Makro%20II/HPFilter.xla" TargetMode="External"/><Relationship Id="rId1" Type="http://schemas.openxmlformats.org/officeDocument/2006/relationships/externalLinkPath" Target="/Users/felixwohlert/Desktop/Polit/Makro%20II/HPFilt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le1"/>
    </sheetNames>
    <definedNames>
      <definedName name="HP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4116-7F20-5042-9268-5E8AD360FF50}">
  <dimension ref="A1:CA151"/>
  <sheetViews>
    <sheetView tabSelected="1" zoomScale="62" workbookViewId="0">
      <pane xSplit="1" topLeftCell="B1" activePane="topRight" state="frozen"/>
      <selection activeCell="A31" sqref="A31"/>
      <selection pane="topRight" activeCell="I35" sqref="I35"/>
    </sheetView>
  </sheetViews>
  <sheetFormatPr baseColWidth="10" defaultRowHeight="14" x14ac:dyDescent="0.15"/>
  <cols>
    <col min="1" max="1" width="30" style="2" customWidth="1"/>
    <col min="2" max="3" width="10.83203125" style="2"/>
    <col min="4" max="4" width="40.83203125" style="2" customWidth="1"/>
    <col min="5" max="5" width="11.1640625" style="2" bestFit="1" customWidth="1"/>
    <col min="6" max="6" width="10.83203125" style="2"/>
    <col min="7" max="18" width="13.5" style="2" bestFit="1" customWidth="1"/>
    <col min="19" max="38" width="15.83203125" style="2" bestFit="1" customWidth="1"/>
    <col min="39" max="39" width="15.5" style="2" bestFit="1" customWidth="1"/>
    <col min="40" max="16384" width="10.83203125" style="2"/>
  </cols>
  <sheetData>
    <row r="1" spans="1:53" x14ac:dyDescent="0.15">
      <c r="A1" s="15" t="s">
        <v>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53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pans="1:53" x14ac:dyDescent="0.15">
      <c r="A3" s="3" t="s">
        <v>26</v>
      </c>
      <c r="B3" s="3" t="s">
        <v>23</v>
      </c>
      <c r="C3" s="3" t="s">
        <v>24</v>
      </c>
      <c r="D3" s="3" t="s">
        <v>25</v>
      </c>
      <c r="E3" s="4">
        <v>1990</v>
      </c>
      <c r="F3" s="4">
        <f>1+E3</f>
        <v>1991</v>
      </c>
      <c r="G3" s="4">
        <f t="shared" ref="G3:R3" si="0">1+F3</f>
        <v>1992</v>
      </c>
      <c r="H3" s="4">
        <f t="shared" si="0"/>
        <v>1993</v>
      </c>
      <c r="I3" s="4">
        <f t="shared" si="0"/>
        <v>1994</v>
      </c>
      <c r="J3" s="4">
        <f t="shared" si="0"/>
        <v>1995</v>
      </c>
      <c r="K3" s="4">
        <f t="shared" si="0"/>
        <v>1996</v>
      </c>
      <c r="L3" s="4">
        <f t="shared" si="0"/>
        <v>1997</v>
      </c>
      <c r="M3" s="4">
        <f t="shared" si="0"/>
        <v>1998</v>
      </c>
      <c r="N3" s="4">
        <f t="shared" si="0"/>
        <v>1999</v>
      </c>
      <c r="O3" s="4">
        <f t="shared" si="0"/>
        <v>2000</v>
      </c>
      <c r="P3" s="4">
        <f t="shared" si="0"/>
        <v>2001</v>
      </c>
      <c r="Q3" s="4">
        <f t="shared" si="0"/>
        <v>2002</v>
      </c>
      <c r="R3" s="4">
        <f t="shared" si="0"/>
        <v>2003</v>
      </c>
      <c r="S3" s="4" t="s">
        <v>0</v>
      </c>
      <c r="T3" s="4" t="s">
        <v>1</v>
      </c>
      <c r="U3" s="4" t="s">
        <v>2</v>
      </c>
      <c r="V3" s="4" t="s">
        <v>3</v>
      </c>
      <c r="W3" s="4" t="s">
        <v>4</v>
      </c>
      <c r="X3" s="4" t="s">
        <v>5</v>
      </c>
      <c r="Y3" s="4" t="s">
        <v>6</v>
      </c>
      <c r="Z3" s="4" t="s">
        <v>7</v>
      </c>
      <c r="AA3" s="4" t="s">
        <v>8</v>
      </c>
      <c r="AB3" s="4" t="s">
        <v>9</v>
      </c>
      <c r="AC3" s="4" t="s">
        <v>10</v>
      </c>
      <c r="AD3" s="4" t="s">
        <v>11</v>
      </c>
      <c r="AE3" s="4" t="s">
        <v>12</v>
      </c>
      <c r="AF3" s="4" t="s">
        <v>13</v>
      </c>
      <c r="AG3" s="4" t="s">
        <v>14</v>
      </c>
      <c r="AH3" s="4" t="s">
        <v>15</v>
      </c>
      <c r="AI3" s="4" t="s">
        <v>16</v>
      </c>
      <c r="AJ3" s="4" t="s">
        <v>17</v>
      </c>
      <c r="AK3" s="4" t="s">
        <v>18</v>
      </c>
      <c r="AL3" s="4" t="s">
        <v>19</v>
      </c>
      <c r="AM3" s="4" t="s">
        <v>20</v>
      </c>
      <c r="AN3" s="4">
        <v>2025</v>
      </c>
    </row>
    <row r="4" spans="1:53" x14ac:dyDescent="0.15">
      <c r="A4" s="2" t="s">
        <v>27</v>
      </c>
      <c r="B4" s="2" t="s">
        <v>22</v>
      </c>
      <c r="C4" s="2" t="s">
        <v>21</v>
      </c>
      <c r="D4" s="2" t="s">
        <v>38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v>860428</v>
      </c>
      <c r="T4" s="5">
        <v>1086356</v>
      </c>
      <c r="U4" s="5">
        <v>1370896</v>
      </c>
      <c r="V4" s="5">
        <v>1364052</v>
      </c>
      <c r="W4" s="5">
        <v>1233820</v>
      </c>
      <c r="X4" s="5">
        <v>1092908</v>
      </c>
      <c r="Y4" s="5">
        <v>1174656</v>
      </c>
      <c r="Z4" s="5">
        <v>1125034</v>
      </c>
      <c r="AA4" s="5">
        <v>1129932</v>
      </c>
      <c r="AB4" s="5">
        <v>1163094</v>
      </c>
      <c r="AC4" s="5">
        <v>1228309</v>
      </c>
      <c r="AD4" s="5">
        <v>1338761</v>
      </c>
      <c r="AE4" s="5">
        <v>1408165</v>
      </c>
      <c r="AF4" s="5">
        <v>1481315</v>
      </c>
      <c r="AG4" s="5">
        <v>1543472</v>
      </c>
      <c r="AH4" s="5">
        <v>1581727</v>
      </c>
      <c r="AI4" s="5">
        <v>1645564</v>
      </c>
      <c r="AJ4" s="5">
        <v>1733501</v>
      </c>
      <c r="AK4" s="5">
        <v>1685416</v>
      </c>
      <c r="AL4" s="5">
        <v>1806552</v>
      </c>
      <c r="AM4" s="5">
        <v>1885555</v>
      </c>
    </row>
    <row r="5" spans="1:53" x14ac:dyDescent="0.15">
      <c r="A5" s="2" t="s">
        <v>28</v>
      </c>
      <c r="B5" s="2" t="s">
        <v>22</v>
      </c>
      <c r="C5" s="2" t="s">
        <v>21</v>
      </c>
      <c r="D5" s="2" t="s">
        <v>38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v>194990</v>
      </c>
      <c r="T5" s="5">
        <v>254095</v>
      </c>
      <c r="U5" s="5">
        <v>309563</v>
      </c>
      <c r="V5" s="5">
        <v>309676</v>
      </c>
      <c r="W5" s="5">
        <v>279186</v>
      </c>
      <c r="X5" s="5">
        <v>251108</v>
      </c>
      <c r="Y5" s="5">
        <v>273661</v>
      </c>
      <c r="Z5" s="5">
        <v>261989</v>
      </c>
      <c r="AA5" s="5">
        <v>269496</v>
      </c>
      <c r="AB5" s="5">
        <v>286786</v>
      </c>
      <c r="AC5" s="5">
        <v>308143</v>
      </c>
      <c r="AD5" s="5">
        <v>344284</v>
      </c>
      <c r="AE5" s="5">
        <v>363749</v>
      </c>
      <c r="AF5" s="5">
        <v>383067</v>
      </c>
      <c r="AG5" s="5">
        <v>399906</v>
      </c>
      <c r="AH5" s="5">
        <v>406329</v>
      </c>
      <c r="AI5" s="5">
        <v>424028</v>
      </c>
      <c r="AJ5" s="5">
        <v>433485</v>
      </c>
      <c r="AK5" s="5">
        <v>436861</v>
      </c>
      <c r="AL5" s="5">
        <v>468902</v>
      </c>
      <c r="AM5" s="5">
        <v>492435</v>
      </c>
    </row>
    <row r="6" spans="1:53" x14ac:dyDescent="0.15">
      <c r="A6" s="2" t="s">
        <v>29</v>
      </c>
      <c r="B6" s="2" t="s">
        <v>22</v>
      </c>
      <c r="C6" s="2" t="s">
        <v>21</v>
      </c>
      <c r="D6" s="2" t="s">
        <v>38</v>
      </c>
      <c r="S6" s="2">
        <v>274519</v>
      </c>
      <c r="T6" s="2">
        <v>356395</v>
      </c>
      <c r="U6" s="2">
        <v>435891</v>
      </c>
      <c r="V6" s="2">
        <v>434188</v>
      </c>
      <c r="W6" s="2">
        <v>392427</v>
      </c>
      <c r="X6" s="2">
        <v>350333</v>
      </c>
      <c r="Y6" s="2">
        <v>382929</v>
      </c>
      <c r="Z6" s="2">
        <v>369351</v>
      </c>
      <c r="AA6" s="2">
        <v>377702</v>
      </c>
      <c r="AB6" s="2">
        <v>400659</v>
      </c>
      <c r="AC6" s="2">
        <v>430717</v>
      </c>
      <c r="AD6" s="2">
        <v>477932</v>
      </c>
      <c r="AE6" s="2">
        <v>504695</v>
      </c>
      <c r="AF6" s="2">
        <v>530398</v>
      </c>
      <c r="AG6" s="2">
        <v>552521</v>
      </c>
      <c r="AH6" s="2">
        <v>561983</v>
      </c>
      <c r="AI6" s="2">
        <v>583934</v>
      </c>
      <c r="AJ6" s="2">
        <v>598385</v>
      </c>
      <c r="AK6" s="2">
        <v>598902</v>
      </c>
      <c r="AL6" s="2">
        <v>645314</v>
      </c>
      <c r="AM6" s="2">
        <v>675531</v>
      </c>
    </row>
    <row r="7" spans="1:53" x14ac:dyDescent="0.15">
      <c r="A7" s="2" t="s">
        <v>30</v>
      </c>
      <c r="B7" s="2" t="s">
        <v>22</v>
      </c>
      <c r="C7" s="2" t="s">
        <v>32</v>
      </c>
      <c r="D7" s="2" t="s">
        <v>38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v>2648870</v>
      </c>
      <c r="T7" s="5">
        <v>3146631</v>
      </c>
      <c r="U7" s="5">
        <v>3925224</v>
      </c>
      <c r="V7" s="5">
        <v>4123035</v>
      </c>
      <c r="W7" s="5">
        <v>3974284</v>
      </c>
      <c r="X7" s="5">
        <v>3611267</v>
      </c>
      <c r="Y7" s="5">
        <v>3697786</v>
      </c>
      <c r="Z7" s="5">
        <v>3549493</v>
      </c>
      <c r="AA7" s="5">
        <v>3532917</v>
      </c>
      <c r="AB7" s="5">
        <v>3560719</v>
      </c>
      <c r="AC7" s="5">
        <v>3637930</v>
      </c>
      <c r="AD7" s="5">
        <v>3834573</v>
      </c>
      <c r="AE7" s="5">
        <v>3951933</v>
      </c>
      <c r="AF7" s="5">
        <v>4104496</v>
      </c>
      <c r="AG7" s="5">
        <v>4240548</v>
      </c>
      <c r="AH7" s="5">
        <v>4324121</v>
      </c>
      <c r="AI7" s="5">
        <v>4472442</v>
      </c>
      <c r="AJ7" s="5">
        <v>4739822</v>
      </c>
      <c r="AK7" s="5">
        <v>4587356</v>
      </c>
      <c r="AL7" s="5">
        <v>4789104</v>
      </c>
      <c r="AM7" s="5">
        <v>4978750</v>
      </c>
    </row>
    <row r="8" spans="1:53" x14ac:dyDescent="0.15">
      <c r="B8" s="2" t="s">
        <v>31</v>
      </c>
      <c r="C8" s="2" t="s">
        <v>32</v>
      </c>
      <c r="D8" s="2" t="s">
        <v>39</v>
      </c>
      <c r="E8" s="5">
        <v>855.4</v>
      </c>
      <c r="F8" s="5">
        <v>890.3</v>
      </c>
      <c r="G8" s="5">
        <v>923.3</v>
      </c>
      <c r="H8" s="5">
        <v>927.9</v>
      </c>
      <c r="I8" s="5">
        <v>992.4</v>
      </c>
      <c r="J8" s="5">
        <v>1035.5999999999999</v>
      </c>
      <c r="K8" s="5">
        <v>1087.0999999999999</v>
      </c>
      <c r="L8" s="5">
        <v>1144.2</v>
      </c>
      <c r="M8" s="5">
        <v>1185.2</v>
      </c>
      <c r="N8" s="5">
        <v>1241</v>
      </c>
      <c r="O8" s="5">
        <v>1326</v>
      </c>
      <c r="P8" s="5">
        <v>1372.3</v>
      </c>
      <c r="Q8" s="5">
        <v>1411.5</v>
      </c>
      <c r="R8" s="5">
        <v>1438.9</v>
      </c>
      <c r="S8" s="5">
        <v>1509.7</v>
      </c>
      <c r="T8" s="5">
        <v>1590.1</v>
      </c>
      <c r="U8" s="5">
        <v>1685.2</v>
      </c>
      <c r="V8" s="5">
        <v>1743.1</v>
      </c>
      <c r="W8" s="5">
        <v>1809.7</v>
      </c>
      <c r="X8" s="5">
        <v>1729.5</v>
      </c>
      <c r="Y8" s="5">
        <v>1812.9</v>
      </c>
      <c r="Z8" s="5">
        <v>1848.5</v>
      </c>
      <c r="AA8" s="5">
        <v>1892.9</v>
      </c>
      <c r="AB8" s="5">
        <v>1935.6</v>
      </c>
      <c r="AC8" s="5">
        <v>1980.3</v>
      </c>
      <c r="AD8" s="5">
        <v>2030.2</v>
      </c>
      <c r="AE8" s="5">
        <v>2101.5</v>
      </c>
      <c r="AF8" s="5">
        <v>2189.6</v>
      </c>
      <c r="AG8" s="5">
        <v>2243.5</v>
      </c>
      <c r="AH8" s="5">
        <v>2303.6</v>
      </c>
      <c r="AI8" s="5">
        <v>2326.6</v>
      </c>
      <c r="AJ8" s="5">
        <v>2553.3000000000002</v>
      </c>
      <c r="AK8" s="5">
        <v>2831.3</v>
      </c>
      <c r="AL8" s="5">
        <v>2787.9</v>
      </c>
      <c r="AM8" s="5">
        <v>2926.9</v>
      </c>
      <c r="AN8" s="5">
        <v>3057.4</v>
      </c>
    </row>
    <row r="9" spans="1:53" x14ac:dyDescent="0.15">
      <c r="B9" s="2" t="s">
        <v>31</v>
      </c>
      <c r="C9" s="2" t="s">
        <v>32</v>
      </c>
      <c r="D9" s="2" t="s">
        <v>40</v>
      </c>
      <c r="E9" s="5">
        <v>1441.4</v>
      </c>
      <c r="F9" s="5">
        <v>1462.4</v>
      </c>
      <c r="G9" s="5">
        <v>1492</v>
      </c>
      <c r="H9" s="5">
        <v>1490.8</v>
      </c>
      <c r="I9" s="5">
        <v>1569.7</v>
      </c>
      <c r="J9" s="5">
        <v>1617.4</v>
      </c>
      <c r="K9" s="5">
        <v>1664.3</v>
      </c>
      <c r="L9" s="5">
        <v>1717</v>
      </c>
      <c r="M9" s="5">
        <v>1756.9</v>
      </c>
      <c r="N9" s="5">
        <v>1809.1</v>
      </c>
      <c r="O9" s="5">
        <v>1876.4</v>
      </c>
      <c r="P9" s="5">
        <v>1894.3</v>
      </c>
      <c r="Q9" s="5">
        <v>1902.9</v>
      </c>
      <c r="R9" s="5">
        <v>1911.3</v>
      </c>
      <c r="S9" s="5">
        <v>1964.4</v>
      </c>
      <c r="T9" s="5">
        <v>2010.7</v>
      </c>
      <c r="U9" s="5">
        <v>2087.5</v>
      </c>
      <c r="V9" s="5">
        <v>2108.1</v>
      </c>
      <c r="W9" s="5">
        <v>2099.3000000000002</v>
      </c>
      <c r="X9" s="5">
        <v>1994.8</v>
      </c>
      <c r="Y9" s="5">
        <v>2026.4</v>
      </c>
      <c r="Z9" s="5">
        <v>2053</v>
      </c>
      <c r="AA9" s="5">
        <v>2052.9</v>
      </c>
      <c r="AB9" s="5">
        <v>2081.5</v>
      </c>
      <c r="AC9" s="5">
        <v>2108.1</v>
      </c>
      <c r="AD9" s="5">
        <v>2152.4</v>
      </c>
      <c r="AE9" s="5">
        <v>2218.6</v>
      </c>
      <c r="AF9" s="5">
        <v>2286.4</v>
      </c>
      <c r="AG9" s="5">
        <v>2328.9</v>
      </c>
      <c r="AH9" s="5">
        <v>2368.8000000000002</v>
      </c>
      <c r="AI9" s="5">
        <v>2326.6</v>
      </c>
      <c r="AJ9" s="5">
        <v>2477.8000000000002</v>
      </c>
      <c r="AK9" s="5">
        <v>2488.8000000000002</v>
      </c>
      <c r="AL9" s="5">
        <v>2503.9</v>
      </c>
      <c r="AM9" s="5">
        <v>2591</v>
      </c>
      <c r="AN9" s="5">
        <v>2665.6</v>
      </c>
    </row>
    <row r="10" spans="1:53" x14ac:dyDescent="0.15">
      <c r="A10" s="2" t="s">
        <v>41</v>
      </c>
      <c r="B10" s="2" t="s">
        <v>33</v>
      </c>
      <c r="C10" s="2" t="s">
        <v>32</v>
      </c>
      <c r="D10" s="6" t="s">
        <v>34</v>
      </c>
      <c r="E10" s="5">
        <v>2707642</v>
      </c>
      <c r="F10" s="5">
        <v>2853709</v>
      </c>
      <c r="G10" s="5">
        <v>2974784</v>
      </c>
      <c r="H10" s="5">
        <v>3080919</v>
      </c>
      <c r="I10" s="5">
        <v>3154317</v>
      </c>
      <c r="J10" s="5">
        <v>3229357</v>
      </c>
      <c r="K10" s="5">
        <v>3327907</v>
      </c>
      <c r="L10" s="5">
        <v>3482411</v>
      </c>
      <c r="M10" s="5">
        <v>3623919</v>
      </c>
      <c r="N10" s="5">
        <v>3764439</v>
      </c>
      <c r="O10" s="5">
        <v>3929425</v>
      </c>
      <c r="P10" s="5">
        <v>4083708</v>
      </c>
      <c r="Q10" s="5">
        <v>4294997</v>
      </c>
      <c r="R10" s="5">
        <v>4437173</v>
      </c>
      <c r="S10" s="5">
        <v>4586756</v>
      </c>
      <c r="T10" s="5">
        <v>4729411</v>
      </c>
      <c r="U10" s="5">
        <v>4925216</v>
      </c>
      <c r="V10" s="5">
        <v>5252074</v>
      </c>
      <c r="W10" s="5">
        <v>5576752</v>
      </c>
      <c r="X10" s="5">
        <v>5878493</v>
      </c>
      <c r="Y10" s="5">
        <v>5592309</v>
      </c>
      <c r="Z10" s="5">
        <v>5671441</v>
      </c>
      <c r="AA10" s="5">
        <v>5848898</v>
      </c>
      <c r="AB10" s="5">
        <v>6026981</v>
      </c>
      <c r="AC10" s="5">
        <v>6130164</v>
      </c>
      <c r="AD10" s="5">
        <v>6245608</v>
      </c>
      <c r="AE10" s="5">
        <v>6346747</v>
      </c>
      <c r="AF10" s="5">
        <v>6590682</v>
      </c>
      <c r="AG10" s="5">
        <v>6810171</v>
      </c>
      <c r="AH10" s="5">
        <v>7087461</v>
      </c>
      <c r="AI10" s="5">
        <v>7348008</v>
      </c>
      <c r="AJ10" s="5">
        <v>7624016</v>
      </c>
      <c r="AK10" s="5">
        <v>7999900</v>
      </c>
      <c r="AL10" s="5">
        <v>9060843</v>
      </c>
      <c r="AM10" s="5">
        <v>9741856</v>
      </c>
    </row>
    <row r="11" spans="1:53" x14ac:dyDescent="0.15">
      <c r="A11" s="2" t="s">
        <v>41</v>
      </c>
      <c r="B11" s="2" t="s">
        <v>33</v>
      </c>
      <c r="C11" s="2" t="s">
        <v>32</v>
      </c>
      <c r="D11" s="6" t="s">
        <v>35</v>
      </c>
      <c r="E11" s="5">
        <v>1210550</v>
      </c>
      <c r="F11" s="5">
        <v>1275707</v>
      </c>
      <c r="G11" s="5">
        <v>1313337</v>
      </c>
      <c r="H11" s="5">
        <v>1340001</v>
      </c>
      <c r="I11" s="5">
        <v>1346550</v>
      </c>
      <c r="J11" s="5">
        <v>1383698</v>
      </c>
      <c r="K11" s="5">
        <v>1418024</v>
      </c>
      <c r="L11" s="5">
        <v>1484192</v>
      </c>
      <c r="M11" s="5">
        <v>1553530</v>
      </c>
      <c r="N11" s="5">
        <v>1605987</v>
      </c>
      <c r="O11" s="5">
        <v>1699428</v>
      </c>
      <c r="P11" s="5">
        <v>1745087</v>
      </c>
      <c r="Q11" s="5">
        <v>1828912</v>
      </c>
      <c r="R11" s="5">
        <v>1890284</v>
      </c>
      <c r="S11" s="5">
        <v>1969835</v>
      </c>
      <c r="T11" s="5">
        <v>2027329</v>
      </c>
      <c r="U11" s="5">
        <v>2121415</v>
      </c>
      <c r="V11" s="5">
        <v>2299596</v>
      </c>
      <c r="W11" s="5">
        <v>2451008</v>
      </c>
      <c r="X11" s="5">
        <v>2562546</v>
      </c>
      <c r="Y11" s="5">
        <v>2353018</v>
      </c>
      <c r="Z11" s="5">
        <v>2394639</v>
      </c>
      <c r="AA11" s="5">
        <v>2493983</v>
      </c>
      <c r="AB11" s="5">
        <v>2596401</v>
      </c>
      <c r="AC11" s="5">
        <v>2688471</v>
      </c>
      <c r="AD11" s="5">
        <v>2775709</v>
      </c>
      <c r="AE11" s="5">
        <v>2842177</v>
      </c>
      <c r="AF11" s="5">
        <v>2959453</v>
      </c>
      <c r="AG11" s="5">
        <v>3056406</v>
      </c>
      <c r="AH11" s="5">
        <v>3185351</v>
      </c>
      <c r="AI11" s="5">
        <v>3336014</v>
      </c>
      <c r="AJ11" s="5">
        <v>3517338</v>
      </c>
      <c r="AK11" s="5">
        <v>3683808</v>
      </c>
      <c r="AL11" s="5">
        <v>4224191</v>
      </c>
      <c r="AM11" s="5">
        <v>4625252</v>
      </c>
    </row>
    <row r="12" spans="1:53" x14ac:dyDescent="0.15">
      <c r="A12" s="2" t="s">
        <v>41</v>
      </c>
      <c r="B12" s="2" t="s">
        <v>33</v>
      </c>
      <c r="C12" s="2" t="s">
        <v>32</v>
      </c>
      <c r="D12" s="6" t="s">
        <v>36</v>
      </c>
      <c r="E12" s="5">
        <v>5383802</v>
      </c>
      <c r="F12" s="5">
        <v>5460820</v>
      </c>
      <c r="G12" s="5">
        <v>5516726</v>
      </c>
      <c r="H12" s="5">
        <v>5556681</v>
      </c>
      <c r="I12" s="5">
        <v>5576275</v>
      </c>
      <c r="J12" s="5">
        <v>5606650</v>
      </c>
      <c r="K12" s="5">
        <v>5658872</v>
      </c>
      <c r="L12" s="5">
        <v>5718284</v>
      </c>
      <c r="M12" s="5">
        <v>5796979</v>
      </c>
      <c r="N12" s="5">
        <v>5889327</v>
      </c>
      <c r="O12" s="5">
        <v>5961789</v>
      </c>
      <c r="P12" s="5">
        <v>6065036</v>
      </c>
      <c r="Q12" s="5">
        <v>6155361</v>
      </c>
      <c r="R12" s="5">
        <v>6226444</v>
      </c>
      <c r="S12" s="5">
        <v>6292041</v>
      </c>
      <c r="T12" s="5">
        <v>6361635</v>
      </c>
      <c r="U12" s="5">
        <v>6449544</v>
      </c>
      <c r="V12" s="5">
        <v>6591216</v>
      </c>
      <c r="W12" s="5">
        <v>6726521</v>
      </c>
      <c r="X12" s="5">
        <v>6828579</v>
      </c>
      <c r="Y12" s="5">
        <v>6870693</v>
      </c>
      <c r="Z12" s="5">
        <v>6877375</v>
      </c>
      <c r="AA12" s="5">
        <v>6888120</v>
      </c>
      <c r="AB12" s="5">
        <v>6915070</v>
      </c>
      <c r="AC12" s="5">
        <v>6949802</v>
      </c>
      <c r="AD12" s="5">
        <v>7004678</v>
      </c>
      <c r="AE12" s="5">
        <v>7075963</v>
      </c>
      <c r="AF12" s="5">
        <v>7176299</v>
      </c>
      <c r="AG12" s="5">
        <v>7290139</v>
      </c>
      <c r="AH12" s="5">
        <v>7411663</v>
      </c>
      <c r="AI12" s="5">
        <v>7512259</v>
      </c>
      <c r="AJ12" s="5">
        <v>7622848</v>
      </c>
      <c r="AK12" s="5">
        <v>7786751</v>
      </c>
      <c r="AL12" s="5">
        <v>7972624</v>
      </c>
      <c r="AM12" s="5">
        <v>8112779</v>
      </c>
      <c r="AW12" s="2">
        <v>4023.75</v>
      </c>
      <c r="AX12" s="2">
        <v>5848.75</v>
      </c>
      <c r="AZ12" s="2" cm="1">
        <f t="array" ref="AZ12:AZ44">[1]!HP(AW12:AW44,6.25)</f>
        <v>3874.5479719796022</v>
      </c>
      <c r="BA12" s="2" cm="1">
        <f t="array" ref="BA12:BA44">[1]!HP(AX12:AX44,6.25)</f>
        <v>5541.7091735570639</v>
      </c>
    </row>
    <row r="13" spans="1:53" x14ac:dyDescent="0.15">
      <c r="A13" s="2" t="s">
        <v>41</v>
      </c>
      <c r="B13" s="2" t="s">
        <v>33</v>
      </c>
      <c r="C13" s="2" t="s">
        <v>32</v>
      </c>
      <c r="D13" s="6" t="s">
        <v>37</v>
      </c>
      <c r="E13" s="5">
        <v>2517705</v>
      </c>
      <c r="F13" s="5">
        <v>2528954</v>
      </c>
      <c r="G13" s="5">
        <v>2531080</v>
      </c>
      <c r="H13" s="5">
        <v>2533085</v>
      </c>
      <c r="I13" s="5">
        <v>2531989</v>
      </c>
      <c r="J13" s="5">
        <v>2536860</v>
      </c>
      <c r="K13" s="5">
        <v>2548003</v>
      </c>
      <c r="L13" s="5">
        <v>2567887</v>
      </c>
      <c r="M13" s="5">
        <v>2590459</v>
      </c>
      <c r="N13" s="5">
        <v>2615184</v>
      </c>
      <c r="O13" s="5">
        <v>2640990</v>
      </c>
      <c r="P13" s="5">
        <v>2682095</v>
      </c>
      <c r="Q13" s="5">
        <v>2711417</v>
      </c>
      <c r="R13" s="5">
        <v>2741874</v>
      </c>
      <c r="S13" s="5">
        <v>2780159</v>
      </c>
      <c r="T13" s="5">
        <v>2830464</v>
      </c>
      <c r="U13" s="5">
        <v>2898221</v>
      </c>
      <c r="V13" s="5">
        <v>2981870</v>
      </c>
      <c r="W13" s="5">
        <v>3055175</v>
      </c>
      <c r="X13" s="5">
        <v>3101066</v>
      </c>
      <c r="Y13" s="5">
        <v>3133508</v>
      </c>
      <c r="Z13" s="5">
        <v>3154566</v>
      </c>
      <c r="AA13" s="5">
        <v>3189421</v>
      </c>
      <c r="AB13" s="5">
        <v>3218004</v>
      </c>
      <c r="AC13" s="5">
        <v>3236976</v>
      </c>
      <c r="AD13" s="5">
        <v>3259500</v>
      </c>
      <c r="AE13" s="5">
        <v>3285938</v>
      </c>
      <c r="AF13" s="5">
        <v>3315644</v>
      </c>
      <c r="AG13" s="5">
        <v>3358064</v>
      </c>
      <c r="AH13" s="5">
        <v>3402684</v>
      </c>
      <c r="AI13" s="5">
        <v>3453276</v>
      </c>
      <c r="AJ13" s="5">
        <v>3516943</v>
      </c>
      <c r="AK13" s="5">
        <v>3599195</v>
      </c>
      <c r="AL13" s="5">
        <v>3677806</v>
      </c>
      <c r="AM13" s="5">
        <v>3729118</v>
      </c>
      <c r="AW13" s="2">
        <v>4145.75</v>
      </c>
      <c r="AX13" s="2">
        <v>5892.25</v>
      </c>
      <c r="AZ13" s="2">
        <v>4156.7278152428989</v>
      </c>
      <c r="BA13" s="2">
        <v>5948.9657754643158</v>
      </c>
    </row>
    <row r="14" spans="1:53" x14ac:dyDescent="0.15">
      <c r="A14" s="2" t="s">
        <v>42</v>
      </c>
      <c r="B14" s="2" t="s">
        <v>46</v>
      </c>
      <c r="C14" s="2" t="s">
        <v>32</v>
      </c>
      <c r="D14" s="2" t="s">
        <v>45</v>
      </c>
      <c r="G14" s="2">
        <v>4023.75</v>
      </c>
      <c r="H14" s="2">
        <v>4145.75</v>
      </c>
      <c r="I14" s="2">
        <v>4402.75</v>
      </c>
      <c r="J14" s="2">
        <v>4629.5</v>
      </c>
      <c r="K14" s="2">
        <v>5167.5</v>
      </c>
      <c r="L14" s="2">
        <v>5744</v>
      </c>
      <c r="M14" s="2">
        <v>6250.25</v>
      </c>
      <c r="N14" s="2">
        <v>6798.5</v>
      </c>
      <c r="O14" s="2">
        <v>7247.75</v>
      </c>
      <c r="P14" s="2">
        <v>7640.75</v>
      </c>
      <c r="Q14" s="2">
        <v>7902.25</v>
      </c>
      <c r="R14" s="2">
        <v>8221.25</v>
      </c>
      <c r="S14" s="2">
        <v>9011</v>
      </c>
      <c r="T14" s="2">
        <v>10636</v>
      </c>
      <c r="U14" s="2">
        <v>12999.25</v>
      </c>
      <c r="V14" s="2">
        <v>13569.25</v>
      </c>
      <c r="W14" s="2">
        <v>12997.75</v>
      </c>
      <c r="X14" s="2">
        <v>11637</v>
      </c>
      <c r="Y14" s="2">
        <v>11964</v>
      </c>
      <c r="Z14" s="2">
        <v>11530</v>
      </c>
      <c r="AA14" s="2">
        <v>11014.75</v>
      </c>
      <c r="AB14" s="2">
        <v>11104.5</v>
      </c>
      <c r="AC14" s="2">
        <v>11276.5</v>
      </c>
      <c r="AD14" s="2">
        <v>12026.5</v>
      </c>
      <c r="AE14" s="2">
        <v>12473.25</v>
      </c>
      <c r="AF14" s="2">
        <v>13034.5</v>
      </c>
      <c r="AG14" s="2">
        <v>13592.5</v>
      </c>
      <c r="AH14" s="2">
        <v>13985.25</v>
      </c>
      <c r="AI14" s="2">
        <v>14574.5</v>
      </c>
      <c r="AJ14" s="2">
        <v>16309</v>
      </c>
      <c r="AK14" s="2">
        <v>16444.5</v>
      </c>
      <c r="AL14" s="2">
        <v>16011</v>
      </c>
      <c r="AM14" s="2">
        <v>16890.25</v>
      </c>
      <c r="AW14" s="2">
        <v>4402.75</v>
      </c>
      <c r="AX14" s="2">
        <v>6321.75</v>
      </c>
      <c r="AZ14" s="2">
        <v>4462.7799829894593</v>
      </c>
      <c r="BA14" s="2">
        <v>6405.3489096024377</v>
      </c>
    </row>
    <row r="15" spans="1:53" x14ac:dyDescent="0.15">
      <c r="A15" s="2" t="s">
        <v>43</v>
      </c>
      <c r="B15" s="2" t="s">
        <v>46</v>
      </c>
      <c r="C15" s="2" t="s">
        <v>49</v>
      </c>
      <c r="D15" s="2" t="s">
        <v>45</v>
      </c>
      <c r="G15" s="2">
        <v>5848.75</v>
      </c>
      <c r="H15" s="2">
        <v>5892.25</v>
      </c>
      <c r="I15" s="2">
        <v>6321.75</v>
      </c>
      <c r="J15" s="2">
        <v>6761</v>
      </c>
      <c r="K15" s="2">
        <v>7407.25</v>
      </c>
      <c r="L15" s="2">
        <v>8468.5</v>
      </c>
      <c r="M15" s="2">
        <v>9456</v>
      </c>
      <c r="N15" s="2">
        <v>10463.25</v>
      </c>
      <c r="O15" s="2">
        <v>11244.5</v>
      </c>
      <c r="P15" s="2">
        <v>12211.5</v>
      </c>
      <c r="Q15" s="2">
        <v>13026.5</v>
      </c>
      <c r="R15" s="2">
        <v>13588.5</v>
      </c>
      <c r="S15" s="2">
        <v>15191.5</v>
      </c>
      <c r="T15" s="2">
        <v>19152</v>
      </c>
      <c r="U15" s="2">
        <v>24279</v>
      </c>
      <c r="V15" s="2">
        <v>23774.5</v>
      </c>
      <c r="W15" s="2">
        <v>21176.75</v>
      </c>
      <c r="X15" s="2">
        <v>17892.5</v>
      </c>
      <c r="Y15" s="2">
        <v>19541</v>
      </c>
      <c r="Z15" s="2">
        <v>19040.75</v>
      </c>
      <c r="AA15" s="2">
        <v>18082.25</v>
      </c>
      <c r="AB15" s="2">
        <v>18811.25</v>
      </c>
      <c r="AC15" s="2">
        <v>19714</v>
      </c>
      <c r="AD15" s="2">
        <v>21468.75</v>
      </c>
      <c r="AE15" s="2">
        <v>22669.25</v>
      </c>
      <c r="AF15" s="2">
        <v>24017.25</v>
      </c>
      <c r="AG15" s="2">
        <v>25153.25</v>
      </c>
      <c r="AH15" s="2">
        <v>25947.5</v>
      </c>
      <c r="AI15" s="2">
        <v>27494.75</v>
      </c>
      <c r="AJ15" s="2">
        <v>32447.5</v>
      </c>
      <c r="AK15" s="2">
        <v>32957.5</v>
      </c>
      <c r="AL15" s="2">
        <v>31513.25</v>
      </c>
      <c r="AM15" s="2">
        <v>33660.25</v>
      </c>
      <c r="AP15" s="2">
        <f>AM15/G15</f>
        <v>5.7551186150886942</v>
      </c>
      <c r="AW15" s="2">
        <v>4629.5</v>
      </c>
      <c r="AX15" s="2">
        <v>6761</v>
      </c>
      <c r="AZ15" s="2">
        <v>4814.8203492636821</v>
      </c>
      <c r="BA15" s="2">
        <v>6950.9105841280088</v>
      </c>
    </row>
    <row r="16" spans="1:53" x14ac:dyDescent="0.15">
      <c r="A16" s="2" t="s">
        <v>44</v>
      </c>
      <c r="B16" s="2" t="s">
        <v>46</v>
      </c>
      <c r="C16" s="2" t="s">
        <v>49</v>
      </c>
      <c r="D16" s="2" t="s">
        <v>45</v>
      </c>
      <c r="G16" s="2">
        <v>5748.5</v>
      </c>
      <c r="H16" s="2">
        <v>5701.25</v>
      </c>
      <c r="I16" s="2">
        <v>5954.5</v>
      </c>
      <c r="J16" s="2">
        <v>6392.25</v>
      </c>
      <c r="K16" s="2">
        <v>7335.75</v>
      </c>
      <c r="L16" s="2">
        <v>8609.75</v>
      </c>
      <c r="M16" s="2">
        <v>9959.75</v>
      </c>
      <c r="N16" s="2">
        <v>10970.5</v>
      </c>
      <c r="O16" s="2">
        <v>11956.25</v>
      </c>
      <c r="P16" s="2">
        <v>13483.5</v>
      </c>
      <c r="Q16" s="2">
        <v>14383</v>
      </c>
      <c r="R16" s="2">
        <v>14938.5</v>
      </c>
      <c r="S16" s="2">
        <v>17106.5</v>
      </c>
      <c r="T16" s="2">
        <v>22096.5</v>
      </c>
      <c r="U16" s="2">
        <v>27776.25</v>
      </c>
      <c r="V16" s="2">
        <v>26858.25</v>
      </c>
      <c r="W16" s="2">
        <v>24926.75</v>
      </c>
      <c r="X16" s="2">
        <v>20995.75</v>
      </c>
      <c r="Y16" s="2">
        <v>23415</v>
      </c>
      <c r="Z16" s="2">
        <v>23238.5</v>
      </c>
      <c r="AA16" s="2">
        <v>22425.5</v>
      </c>
      <c r="AB16" s="2">
        <v>24241.75</v>
      </c>
      <c r="AC16" s="2">
        <v>26073.25</v>
      </c>
      <c r="AD16" s="2">
        <v>28769</v>
      </c>
      <c r="AE16" s="2">
        <v>30302</v>
      </c>
      <c r="AF16" s="2">
        <v>32739.25</v>
      </c>
      <c r="AG16" s="2">
        <v>34770.5</v>
      </c>
      <c r="AH16" s="2">
        <v>35535.25</v>
      </c>
      <c r="AI16" s="2">
        <v>37795.5</v>
      </c>
      <c r="AJ16" s="2">
        <v>45670</v>
      </c>
      <c r="AK16" s="2">
        <v>46415</v>
      </c>
      <c r="AL16" s="2">
        <v>43879</v>
      </c>
      <c r="AM16" s="2">
        <v>48302</v>
      </c>
      <c r="AP16" s="2">
        <f t="shared" ref="AP16:AP17" si="1">AM16/G16</f>
        <v>8.4025397929894758</v>
      </c>
      <c r="AW16" s="2">
        <v>5167.5</v>
      </c>
      <c r="AX16" s="2">
        <v>7407.25</v>
      </c>
      <c r="AZ16" s="2">
        <v>5225.3599908316537</v>
      </c>
      <c r="BA16" s="2">
        <v>7612.3269816612174</v>
      </c>
    </row>
    <row r="17" spans="1:53" x14ac:dyDescent="0.15">
      <c r="A17" s="6" t="s">
        <v>47</v>
      </c>
      <c r="B17" s="2" t="s">
        <v>46</v>
      </c>
      <c r="C17" s="2" t="s">
        <v>50</v>
      </c>
      <c r="D17" s="2" t="s">
        <v>45</v>
      </c>
      <c r="G17" s="2">
        <v>3775.8214285714284</v>
      </c>
      <c r="H17" s="2">
        <v>3881.5</v>
      </c>
      <c r="I17" s="2">
        <v>4125.75</v>
      </c>
      <c r="J17" s="2">
        <v>4348</v>
      </c>
      <c r="K17" s="2">
        <v>4858.7142857142853</v>
      </c>
      <c r="L17" s="2">
        <v>5375.5714285714284</v>
      </c>
      <c r="M17" s="2">
        <v>5843.1428571428569</v>
      </c>
      <c r="N17" s="2">
        <v>6301.8214285714284</v>
      </c>
      <c r="O17" s="2">
        <v>6613.8928571428569</v>
      </c>
      <c r="P17" s="2">
        <v>6899.1071428571431</v>
      </c>
      <c r="Q17" s="2">
        <v>7114.7142857142853</v>
      </c>
      <c r="R17" s="2">
        <v>7383.5714285714284</v>
      </c>
      <c r="S17" s="2">
        <v>7973.8928571428569</v>
      </c>
      <c r="T17" s="2">
        <v>9137.8214285714294</v>
      </c>
      <c r="U17" s="2">
        <v>11092.321428571429</v>
      </c>
      <c r="V17" s="2">
        <v>11856.107142857143</v>
      </c>
      <c r="W17" s="2">
        <v>11625.892857142857</v>
      </c>
      <c r="X17" s="2">
        <v>10523.214285714286</v>
      </c>
      <c r="Y17" s="2">
        <v>10586.071428571429</v>
      </c>
      <c r="Z17" s="2">
        <v>10149.392857142857</v>
      </c>
      <c r="AA17" s="2">
        <v>9709.6785714285706</v>
      </c>
      <c r="AB17" s="2">
        <v>9694.2857142857138</v>
      </c>
      <c r="AC17" s="2">
        <v>9731.5357142857138</v>
      </c>
      <c r="AD17" s="2">
        <v>10287.035714285714</v>
      </c>
      <c r="AE17" s="2">
        <v>10612</v>
      </c>
      <c r="AF17" s="2">
        <v>11028.5</v>
      </c>
      <c r="AG17" s="2">
        <v>11499.178571428571</v>
      </c>
      <c r="AH17" s="2">
        <v>11825.892857142857</v>
      </c>
      <c r="AI17" s="2">
        <v>12210.535714285714</v>
      </c>
      <c r="AJ17" s="2">
        <v>13327.571428571429</v>
      </c>
      <c r="AK17" s="2">
        <v>13448</v>
      </c>
      <c r="AL17" s="2">
        <v>13123.892857142857</v>
      </c>
      <c r="AM17" s="2">
        <v>13642.607142857143</v>
      </c>
      <c r="AP17" s="2">
        <f t="shared" si="1"/>
        <v>3.613149456598848</v>
      </c>
      <c r="AW17" s="2">
        <v>5744</v>
      </c>
      <c r="AX17" s="2">
        <v>8468.5</v>
      </c>
      <c r="AZ17" s="2">
        <v>5677.2587285772697</v>
      </c>
      <c r="BA17" s="2">
        <v>8385.8885913617705</v>
      </c>
    </row>
    <row r="18" spans="1:53" x14ac:dyDescent="0.15">
      <c r="A18" s="6" t="s">
        <v>48</v>
      </c>
      <c r="B18" s="2" t="s">
        <v>46</v>
      </c>
      <c r="C18" s="2" t="s">
        <v>50</v>
      </c>
      <c r="D18" s="2" t="s">
        <v>45</v>
      </c>
      <c r="G18" s="2">
        <v>4236.416666666667</v>
      </c>
      <c r="H18" s="2">
        <v>4332.25</v>
      </c>
      <c r="I18" s="2">
        <v>4626.333333333333</v>
      </c>
      <c r="J18" s="2">
        <v>4897.1111111111113</v>
      </c>
      <c r="K18" s="2">
        <v>5299.6</v>
      </c>
      <c r="L18" s="2">
        <v>5904.9750000000004</v>
      </c>
      <c r="M18" s="2">
        <v>6441.65</v>
      </c>
      <c r="N18" s="2">
        <v>6997.1750000000002</v>
      </c>
      <c r="O18" s="2">
        <v>7395.8249999999998</v>
      </c>
      <c r="P18" s="2">
        <v>7801.2</v>
      </c>
      <c r="Q18" s="2">
        <v>8148.8249999999998</v>
      </c>
      <c r="R18" s="2">
        <v>8480.6</v>
      </c>
      <c r="S18" s="2">
        <v>9245.6749999999993</v>
      </c>
      <c r="T18" s="2">
        <v>10907.975</v>
      </c>
      <c r="U18" s="2">
        <v>13471.8</v>
      </c>
      <c r="V18" s="2">
        <v>13980.95</v>
      </c>
      <c r="W18" s="2">
        <v>13232.975</v>
      </c>
      <c r="X18" s="2">
        <v>12237.666666666666</v>
      </c>
      <c r="Y18" s="2">
        <v>12118.9</v>
      </c>
      <c r="Z18" s="2">
        <v>11619.45</v>
      </c>
      <c r="AA18" s="2">
        <v>11025.725</v>
      </c>
      <c r="AB18" s="2">
        <v>11119.85</v>
      </c>
      <c r="AC18" s="2">
        <v>11315.25</v>
      </c>
      <c r="AD18" s="2">
        <v>12067.125</v>
      </c>
      <c r="AE18" s="2">
        <v>12599.45</v>
      </c>
      <c r="AF18" s="2">
        <v>13173.125</v>
      </c>
      <c r="AG18" s="2">
        <v>13763.55</v>
      </c>
      <c r="AH18" s="2">
        <v>14177.65</v>
      </c>
      <c r="AI18" s="2">
        <v>14807.8</v>
      </c>
      <c r="AJ18" s="2">
        <v>16726.025000000001</v>
      </c>
      <c r="AK18" s="2">
        <v>16915.424999999999</v>
      </c>
      <c r="AL18" s="2">
        <v>16384.150000000001</v>
      </c>
      <c r="AM18" s="2">
        <v>17126.474999999999</v>
      </c>
      <c r="AW18" s="2">
        <v>6250.25</v>
      </c>
      <c r="AX18" s="2">
        <v>9456</v>
      </c>
      <c r="AZ18" s="2">
        <v>6144.1187848513619</v>
      </c>
      <c r="BA18" s="2">
        <v>9235.0735853235801</v>
      </c>
    </row>
    <row r="19" spans="1:53" x14ac:dyDescent="0.15">
      <c r="A19" s="2" t="s">
        <v>42</v>
      </c>
      <c r="B19" s="2" t="s">
        <v>51</v>
      </c>
      <c r="C19" s="2" t="s">
        <v>32</v>
      </c>
      <c r="D19" s="2" t="s">
        <v>52</v>
      </c>
      <c r="H19" s="5">
        <v>5189326</v>
      </c>
      <c r="I19" s="5">
        <v>5205613</v>
      </c>
      <c r="J19" s="5">
        <v>5230345</v>
      </c>
      <c r="K19" s="5">
        <v>5262456</v>
      </c>
      <c r="L19" s="5">
        <v>5284913</v>
      </c>
      <c r="M19" s="5">
        <v>5303229</v>
      </c>
      <c r="N19" s="5">
        <v>5320516</v>
      </c>
      <c r="O19" s="5">
        <v>5338491</v>
      </c>
      <c r="P19" s="5">
        <v>5357285</v>
      </c>
      <c r="Q19" s="5">
        <v>5375575</v>
      </c>
      <c r="R19" s="5">
        <v>5389521</v>
      </c>
      <c r="S19" s="5">
        <v>5403040</v>
      </c>
      <c r="T19" s="5">
        <v>5418559</v>
      </c>
      <c r="U19" s="5">
        <v>5436756</v>
      </c>
      <c r="V19" s="5">
        <v>5460399</v>
      </c>
      <c r="W19" s="5">
        <v>5492726</v>
      </c>
      <c r="X19" s="5">
        <v>5522588</v>
      </c>
      <c r="Y19" s="5">
        <v>5547363</v>
      </c>
      <c r="Z19" s="5">
        <v>5570213</v>
      </c>
      <c r="AA19" s="5">
        <v>5590770</v>
      </c>
      <c r="AB19" s="5">
        <v>5613263</v>
      </c>
      <c r="AC19" s="5">
        <v>5643345</v>
      </c>
      <c r="AD19" s="5">
        <v>5682449</v>
      </c>
      <c r="AE19" s="5">
        <v>5728752</v>
      </c>
      <c r="AF19" s="5">
        <v>5765103</v>
      </c>
      <c r="AG19" s="5">
        <v>5793868</v>
      </c>
      <c r="AH19" s="5">
        <v>5816940</v>
      </c>
      <c r="AI19" s="5">
        <v>5829703</v>
      </c>
      <c r="AJ19" s="5">
        <v>5854420</v>
      </c>
      <c r="AK19" s="5">
        <v>5906385</v>
      </c>
      <c r="AL19" s="5">
        <v>5947987</v>
      </c>
      <c r="AM19" s="5">
        <v>5976806</v>
      </c>
      <c r="AW19" s="2">
        <v>6798.5</v>
      </c>
      <c r="AX19" s="2">
        <v>10463.25</v>
      </c>
      <c r="AZ19" s="2">
        <v>6610.2209854323974</v>
      </c>
      <c r="BA19" s="2">
        <v>10136.577961022675</v>
      </c>
    </row>
    <row r="20" spans="1:53" x14ac:dyDescent="0.15">
      <c r="A20" s="2" t="s">
        <v>43</v>
      </c>
      <c r="B20" s="2" t="s">
        <v>51</v>
      </c>
      <c r="C20" s="2" t="s">
        <v>49</v>
      </c>
      <c r="D20" s="2" t="s">
        <v>52</v>
      </c>
      <c r="H20" s="5">
        <v>1550683</v>
      </c>
      <c r="I20" s="5">
        <v>1556106</v>
      </c>
      <c r="J20" s="5">
        <v>1565186</v>
      </c>
      <c r="K20" s="5">
        <v>1577446</v>
      </c>
      <c r="L20" s="5">
        <v>1587986</v>
      </c>
      <c r="M20" s="5">
        <v>1596000</v>
      </c>
      <c r="N20" s="5">
        <v>1604541</v>
      </c>
      <c r="O20" s="5">
        <v>1612953</v>
      </c>
      <c r="P20" s="5">
        <v>1620123</v>
      </c>
      <c r="Q20" s="5">
        <v>1625238</v>
      </c>
      <c r="R20" s="5">
        <v>1627933</v>
      </c>
      <c r="S20" s="5">
        <v>1629799</v>
      </c>
      <c r="T20" s="5">
        <v>1632592</v>
      </c>
      <c r="U20" s="5">
        <v>1635057</v>
      </c>
      <c r="V20" s="5">
        <v>1640717</v>
      </c>
      <c r="W20" s="5">
        <v>1653518</v>
      </c>
      <c r="X20" s="5">
        <v>1670985</v>
      </c>
      <c r="Y20" s="5">
        <v>1689844</v>
      </c>
      <c r="Z20" s="5">
        <v>1706761</v>
      </c>
      <c r="AA20" s="5">
        <v>1722963</v>
      </c>
      <c r="AB20" s="5">
        <v>1740186</v>
      </c>
      <c r="AC20" s="5">
        <v>1758872</v>
      </c>
      <c r="AD20" s="5">
        <v>1778377</v>
      </c>
      <c r="AE20" s="5">
        <v>1798310</v>
      </c>
      <c r="AF20" s="5">
        <v>1815146</v>
      </c>
      <c r="AG20" s="5">
        <v>1829152</v>
      </c>
      <c r="AH20" s="5">
        <v>1842449</v>
      </c>
      <c r="AI20" s="5">
        <v>1849821</v>
      </c>
      <c r="AJ20" s="5">
        <v>1860362</v>
      </c>
      <c r="AK20" s="5">
        <v>1880291</v>
      </c>
      <c r="AL20" s="5">
        <v>1902574</v>
      </c>
      <c r="AM20" s="5">
        <v>1921494</v>
      </c>
      <c r="AW20" s="2">
        <v>7247.75</v>
      </c>
      <c r="AX20" s="2">
        <v>11244.5</v>
      </c>
      <c r="AZ20" s="2">
        <v>7076.8271505226276</v>
      </c>
      <c r="BA20" s="2">
        <v>11102.44594228331</v>
      </c>
    </row>
    <row r="21" spans="1:53" x14ac:dyDescent="0.15">
      <c r="A21" s="2" t="s">
        <v>44</v>
      </c>
      <c r="B21" s="2" t="s">
        <v>51</v>
      </c>
      <c r="C21" s="2" t="s">
        <v>49</v>
      </c>
      <c r="D21" s="2" t="s">
        <v>52</v>
      </c>
      <c r="H21" s="5">
        <v>605805</v>
      </c>
      <c r="I21" s="5">
        <v>607889</v>
      </c>
      <c r="J21" s="5">
        <v>613672</v>
      </c>
      <c r="K21" s="5">
        <v>620454</v>
      </c>
      <c r="L21" s="5">
        <v>626922</v>
      </c>
      <c r="M21" s="5">
        <v>630747</v>
      </c>
      <c r="N21" s="5">
        <v>635446</v>
      </c>
      <c r="O21" s="5">
        <v>640216</v>
      </c>
      <c r="P21" s="5">
        <v>642853</v>
      </c>
      <c r="Q21" s="5">
        <v>644535</v>
      </c>
      <c r="R21" s="5">
        <v>645478</v>
      </c>
      <c r="S21" s="5">
        <v>646224</v>
      </c>
      <c r="T21" s="5">
        <v>646394</v>
      </c>
      <c r="U21" s="5">
        <v>646991</v>
      </c>
      <c r="V21" s="5">
        <v>652562</v>
      </c>
      <c r="W21" s="5">
        <v>661391</v>
      </c>
      <c r="X21" s="5">
        <v>672785</v>
      </c>
      <c r="Y21" s="5">
        <v>685608</v>
      </c>
      <c r="Z21" s="5">
        <v>698360</v>
      </c>
      <c r="AA21" s="5">
        <v>710139</v>
      </c>
      <c r="AB21" s="5">
        <v>722528</v>
      </c>
      <c r="AC21" s="5">
        <v>733996</v>
      </c>
      <c r="AD21" s="5">
        <v>746312</v>
      </c>
      <c r="AE21" s="5">
        <v>758612</v>
      </c>
      <c r="AF21" s="5">
        <v>769947</v>
      </c>
      <c r="AG21" s="5">
        <v>779901</v>
      </c>
      <c r="AH21" s="5">
        <v>790097</v>
      </c>
      <c r="AI21" s="5">
        <v>796414</v>
      </c>
      <c r="AJ21" s="5">
        <v>801276</v>
      </c>
      <c r="AK21" s="5">
        <v>810821</v>
      </c>
      <c r="AL21" s="5">
        <v>820317</v>
      </c>
      <c r="AM21" s="5">
        <v>827717</v>
      </c>
      <c r="AW21" s="2">
        <v>7640.75</v>
      </c>
      <c r="AX21" s="2">
        <v>12211.5</v>
      </c>
      <c r="AZ21" s="2">
        <v>7575.3237426551214</v>
      </c>
      <c r="BA21" s="2">
        <v>12196.989279166117</v>
      </c>
    </row>
    <row r="22" spans="1:53" x14ac:dyDescent="0.15">
      <c r="A22" s="6" t="s">
        <v>47</v>
      </c>
      <c r="B22" s="2" t="s">
        <v>51</v>
      </c>
      <c r="C22" s="2" t="s">
        <v>50</v>
      </c>
      <c r="D22" s="2" t="s">
        <v>52</v>
      </c>
      <c r="H22" s="2">
        <f>H19-H20</f>
        <v>3638643</v>
      </c>
      <c r="I22" s="2">
        <f t="shared" ref="I22:AM22" si="2">I19-I20</f>
        <v>3649507</v>
      </c>
      <c r="J22" s="2">
        <f t="shared" si="2"/>
        <v>3665159</v>
      </c>
      <c r="K22" s="2">
        <f t="shared" si="2"/>
        <v>3685010</v>
      </c>
      <c r="L22" s="2">
        <f t="shared" si="2"/>
        <v>3696927</v>
      </c>
      <c r="M22" s="2">
        <f t="shared" si="2"/>
        <v>3707229</v>
      </c>
      <c r="N22" s="2">
        <f t="shared" si="2"/>
        <v>3715975</v>
      </c>
      <c r="O22" s="2">
        <f t="shared" si="2"/>
        <v>3725538</v>
      </c>
      <c r="P22" s="2">
        <f t="shared" si="2"/>
        <v>3737162</v>
      </c>
      <c r="Q22" s="2">
        <f t="shared" si="2"/>
        <v>3750337</v>
      </c>
      <c r="R22" s="2">
        <f t="shared" si="2"/>
        <v>3761588</v>
      </c>
      <c r="S22" s="2">
        <f t="shared" si="2"/>
        <v>3773241</v>
      </c>
      <c r="T22" s="2">
        <f t="shared" si="2"/>
        <v>3785967</v>
      </c>
      <c r="U22" s="2">
        <f t="shared" si="2"/>
        <v>3801699</v>
      </c>
      <c r="V22" s="2">
        <f t="shared" si="2"/>
        <v>3819682</v>
      </c>
      <c r="W22" s="2">
        <f t="shared" si="2"/>
        <v>3839208</v>
      </c>
      <c r="X22" s="2">
        <f t="shared" si="2"/>
        <v>3851603</v>
      </c>
      <c r="Y22" s="2">
        <f t="shared" si="2"/>
        <v>3857519</v>
      </c>
      <c r="Z22" s="2">
        <f t="shared" si="2"/>
        <v>3863452</v>
      </c>
      <c r="AA22" s="2">
        <f t="shared" si="2"/>
        <v>3867807</v>
      </c>
      <c r="AB22" s="2">
        <f t="shared" si="2"/>
        <v>3873077</v>
      </c>
      <c r="AC22" s="2">
        <f t="shared" si="2"/>
        <v>3884473</v>
      </c>
      <c r="AD22" s="2">
        <f t="shared" si="2"/>
        <v>3904072</v>
      </c>
      <c r="AE22" s="2">
        <f t="shared" si="2"/>
        <v>3930442</v>
      </c>
      <c r="AF22" s="2">
        <f t="shared" si="2"/>
        <v>3949957</v>
      </c>
      <c r="AG22" s="2">
        <f t="shared" si="2"/>
        <v>3964716</v>
      </c>
      <c r="AH22" s="2">
        <f t="shared" si="2"/>
        <v>3974491</v>
      </c>
      <c r="AI22" s="2">
        <f t="shared" si="2"/>
        <v>3979882</v>
      </c>
      <c r="AJ22" s="2">
        <f t="shared" si="2"/>
        <v>3994058</v>
      </c>
      <c r="AK22" s="2">
        <f t="shared" si="2"/>
        <v>4026094</v>
      </c>
      <c r="AL22" s="2">
        <f t="shared" si="2"/>
        <v>4045413</v>
      </c>
      <c r="AM22" s="2">
        <f t="shared" si="2"/>
        <v>4055312</v>
      </c>
      <c r="AW22" s="2">
        <v>7902.25</v>
      </c>
      <c r="AX22" s="2">
        <v>13026.5</v>
      </c>
      <c r="AZ22" s="2">
        <v>8164.444880279324</v>
      </c>
      <c r="BA22" s="2">
        <v>13507.248370966392</v>
      </c>
    </row>
    <row r="23" spans="1:53" x14ac:dyDescent="0.15">
      <c r="A23" s="6" t="s">
        <v>48</v>
      </c>
      <c r="B23" s="2" t="s">
        <v>51</v>
      </c>
      <c r="C23" s="2" t="s">
        <v>50</v>
      </c>
      <c r="D23" s="2" t="s">
        <v>52</v>
      </c>
      <c r="H23" s="2">
        <f>H19-H21</f>
        <v>4583521</v>
      </c>
      <c r="I23" s="2">
        <f t="shared" ref="I23:AM23" si="3">I19-I21</f>
        <v>4597724</v>
      </c>
      <c r="J23" s="2">
        <f t="shared" si="3"/>
        <v>4616673</v>
      </c>
      <c r="K23" s="2">
        <f t="shared" si="3"/>
        <v>4642002</v>
      </c>
      <c r="L23" s="2">
        <f t="shared" si="3"/>
        <v>4657991</v>
      </c>
      <c r="M23" s="2">
        <f t="shared" si="3"/>
        <v>4672482</v>
      </c>
      <c r="N23" s="2">
        <f t="shared" si="3"/>
        <v>4685070</v>
      </c>
      <c r="O23" s="2">
        <f t="shared" si="3"/>
        <v>4698275</v>
      </c>
      <c r="P23" s="2">
        <f t="shared" si="3"/>
        <v>4714432</v>
      </c>
      <c r="Q23" s="2">
        <f t="shared" si="3"/>
        <v>4731040</v>
      </c>
      <c r="R23" s="2">
        <f t="shared" si="3"/>
        <v>4744043</v>
      </c>
      <c r="S23" s="2">
        <f t="shared" si="3"/>
        <v>4756816</v>
      </c>
      <c r="T23" s="2">
        <f t="shared" si="3"/>
        <v>4772165</v>
      </c>
      <c r="U23" s="2">
        <f t="shared" si="3"/>
        <v>4789765</v>
      </c>
      <c r="V23" s="2">
        <f t="shared" si="3"/>
        <v>4807837</v>
      </c>
      <c r="W23" s="2">
        <f t="shared" si="3"/>
        <v>4831335</v>
      </c>
      <c r="X23" s="2">
        <f t="shared" si="3"/>
        <v>4849803</v>
      </c>
      <c r="Y23" s="2">
        <f t="shared" si="3"/>
        <v>4861755</v>
      </c>
      <c r="Z23" s="2">
        <f t="shared" si="3"/>
        <v>4871853</v>
      </c>
      <c r="AA23" s="2">
        <f t="shared" si="3"/>
        <v>4880631</v>
      </c>
      <c r="AB23" s="2">
        <f t="shared" si="3"/>
        <v>4890735</v>
      </c>
      <c r="AC23" s="2">
        <f t="shared" si="3"/>
        <v>4909349</v>
      </c>
      <c r="AD23" s="2">
        <f t="shared" si="3"/>
        <v>4936137</v>
      </c>
      <c r="AE23" s="2">
        <f t="shared" si="3"/>
        <v>4970140</v>
      </c>
      <c r="AF23" s="2">
        <f t="shared" si="3"/>
        <v>4995156</v>
      </c>
      <c r="AG23" s="2">
        <f t="shared" si="3"/>
        <v>5013967</v>
      </c>
      <c r="AH23" s="2">
        <f t="shared" si="3"/>
        <v>5026843</v>
      </c>
      <c r="AI23" s="2">
        <f t="shared" si="3"/>
        <v>5033289</v>
      </c>
      <c r="AJ23" s="2">
        <f t="shared" si="3"/>
        <v>5053144</v>
      </c>
      <c r="AK23" s="2">
        <f t="shared" si="3"/>
        <v>5095564</v>
      </c>
      <c r="AL23" s="2">
        <f t="shared" si="3"/>
        <v>5127670</v>
      </c>
      <c r="AM23" s="2">
        <f t="shared" si="3"/>
        <v>5149089</v>
      </c>
      <c r="AW23" s="2">
        <v>8221.25</v>
      </c>
      <c r="AX23" s="2">
        <v>13588.5</v>
      </c>
      <c r="AZ23" s="2">
        <v>8913.3928830198583</v>
      </c>
      <c r="BA23" s="2">
        <v>15122.585332312849</v>
      </c>
    </row>
    <row r="24" spans="1:53" x14ac:dyDescent="0.15">
      <c r="A24" s="2" t="s">
        <v>53</v>
      </c>
      <c r="C24" s="2" t="s">
        <v>32</v>
      </c>
      <c r="D24" s="2" t="s">
        <v>54</v>
      </c>
      <c r="E24" s="7">
        <v>2985429</v>
      </c>
      <c r="F24" s="7">
        <v>3047287</v>
      </c>
      <c r="G24" s="7">
        <v>2998953</v>
      </c>
      <c r="H24" s="7">
        <v>3035235</v>
      </c>
      <c r="I24" s="7">
        <v>3128727</v>
      </c>
      <c r="J24" s="7">
        <v>3416539</v>
      </c>
      <c r="K24" s="7">
        <v>3630684</v>
      </c>
      <c r="L24" s="7">
        <v>4024008</v>
      </c>
      <c r="M24" s="7">
        <v>4384173</v>
      </c>
      <c r="N24" s="7">
        <v>4744617</v>
      </c>
      <c r="O24" s="7">
        <v>5365079</v>
      </c>
      <c r="P24" s="7">
        <v>5810079</v>
      </c>
      <c r="Q24" s="7">
        <v>6059841</v>
      </c>
      <c r="R24" s="7">
        <v>6215733</v>
      </c>
      <c r="S24" s="7">
        <v>6773731</v>
      </c>
      <c r="T24" s="7">
        <v>7863543</v>
      </c>
      <c r="U24" s="7">
        <v>9252128</v>
      </c>
      <c r="V24" s="7">
        <v>9805989</v>
      </c>
      <c r="W24" s="7">
        <v>9424551</v>
      </c>
      <c r="X24" s="7">
        <v>9000520</v>
      </c>
      <c r="Y24" s="7">
        <v>9060874</v>
      </c>
      <c r="Z24" s="7">
        <v>8832028</v>
      </c>
      <c r="AA24" s="7">
        <v>8858844</v>
      </c>
      <c r="AB24" s="7">
        <v>9108755</v>
      </c>
      <c r="AC24" s="7">
        <v>9341049</v>
      </c>
      <c r="AD24" s="7">
        <v>9914273</v>
      </c>
      <c r="AE24" s="7">
        <v>10030107</v>
      </c>
      <c r="AF24" s="7">
        <v>10528121</v>
      </c>
      <c r="AG24" s="7">
        <v>10839217</v>
      </c>
      <c r="AH24" s="7">
        <v>11326311</v>
      </c>
      <c r="AI24" s="7">
        <v>12089860</v>
      </c>
      <c r="AJ24" s="7">
        <v>12985460</v>
      </c>
      <c r="AK24" s="7">
        <v>13116777</v>
      </c>
      <c r="AW24" s="2">
        <v>9011</v>
      </c>
      <c r="AX24" s="2">
        <v>15191.5</v>
      </c>
      <c r="AZ24" s="2">
        <v>9849.4188896566575</v>
      </c>
      <c r="BA24" s="2">
        <v>17055.44253847958</v>
      </c>
    </row>
    <row r="25" spans="1:53" x14ac:dyDescent="0.15">
      <c r="A25" s="2" t="s">
        <v>42</v>
      </c>
      <c r="B25" s="2" t="s">
        <v>75</v>
      </c>
      <c r="C25" s="2" t="s">
        <v>32</v>
      </c>
      <c r="D25" s="2" t="s">
        <v>76</v>
      </c>
      <c r="E25" s="7">
        <v>325607862</v>
      </c>
      <c r="F25" s="7">
        <v>328470739</v>
      </c>
      <c r="G25" s="7">
        <v>330711233</v>
      </c>
      <c r="H25" s="7">
        <v>332529069.5</v>
      </c>
      <c r="I25" s="7">
        <v>334245674.5</v>
      </c>
      <c r="J25" s="7">
        <v>336168956.5</v>
      </c>
      <c r="K25" s="7">
        <v>338198281.5</v>
      </c>
      <c r="L25" s="7">
        <v>340543051.5</v>
      </c>
      <c r="M25" s="7">
        <v>343256668.5</v>
      </c>
      <c r="N25" s="7">
        <v>346244910.5</v>
      </c>
      <c r="O25" s="7">
        <v>349213898.5</v>
      </c>
      <c r="P25" s="7">
        <v>352322223</v>
      </c>
      <c r="Q25" s="7">
        <v>355230382</v>
      </c>
      <c r="R25" s="7">
        <v>358101036.5</v>
      </c>
      <c r="S25" s="7">
        <v>361448084.5</v>
      </c>
      <c r="T25" s="7">
        <v>364544935.5</v>
      </c>
      <c r="U25" s="7">
        <v>367865635</v>
      </c>
      <c r="V25" s="7"/>
      <c r="W25" s="7"/>
      <c r="X25" s="7"/>
      <c r="Y25" s="7"/>
      <c r="Z25" s="11">
        <v>303647000</v>
      </c>
      <c r="AA25" s="7">
        <v>305443000</v>
      </c>
      <c r="AB25" s="7">
        <v>307567000</v>
      </c>
      <c r="AC25" s="7">
        <v>309640000</v>
      </c>
      <c r="AD25" s="7">
        <v>311493000</v>
      </c>
      <c r="AE25" s="7">
        <v>313430000</v>
      </c>
      <c r="AF25" s="7">
        <v>315848000</v>
      </c>
      <c r="AG25" s="7">
        <v>319078000</v>
      </c>
      <c r="AH25" s="7">
        <v>322061000</v>
      </c>
      <c r="AI25" s="7">
        <v>326122000</v>
      </c>
      <c r="AJ25" s="7">
        <v>330020000</v>
      </c>
      <c r="AK25" s="7">
        <v>334053000</v>
      </c>
      <c r="AL25" s="2">
        <v>338175000</v>
      </c>
      <c r="AM25" s="2">
        <v>341975000</v>
      </c>
      <c r="AN25" s="2">
        <v>344716000</v>
      </c>
      <c r="AW25" s="2">
        <v>10636</v>
      </c>
      <c r="AX25" s="2">
        <v>19152</v>
      </c>
      <c r="AZ25" s="2">
        <v>10889.031177686478</v>
      </c>
      <c r="BA25" s="2">
        <v>19072.808711570622</v>
      </c>
    </row>
    <row r="26" spans="1:53" x14ac:dyDescent="0.15">
      <c r="A26" s="2" t="s">
        <v>43</v>
      </c>
      <c r="B26" s="2" t="s">
        <v>75</v>
      </c>
      <c r="C26" s="2" t="s">
        <v>49</v>
      </c>
      <c r="D26" s="2" t="s">
        <v>76</v>
      </c>
      <c r="E26" s="7">
        <v>90938187.5</v>
      </c>
      <c r="F26" s="7">
        <v>91416550</v>
      </c>
      <c r="G26" s="7">
        <v>91887882</v>
      </c>
      <c r="H26" s="7">
        <v>92088224</v>
      </c>
      <c r="I26" s="7">
        <v>92421527</v>
      </c>
      <c r="J26" s="7">
        <v>92792955</v>
      </c>
      <c r="K26" s="7">
        <v>93260089.5</v>
      </c>
      <c r="L26" s="7">
        <v>93710531.5</v>
      </c>
      <c r="M26" s="7">
        <v>94093519</v>
      </c>
      <c r="N26" s="7">
        <v>94508532</v>
      </c>
      <c r="O26" s="7">
        <v>94915256.5</v>
      </c>
      <c r="P26" s="7">
        <v>95441486</v>
      </c>
      <c r="Q26" s="7">
        <v>95866461.5</v>
      </c>
      <c r="R26" s="7">
        <v>96334951.5</v>
      </c>
      <c r="S26" s="7">
        <v>96748710</v>
      </c>
      <c r="T26" s="7">
        <v>97195683.5</v>
      </c>
      <c r="U26" s="7">
        <v>97787044.5</v>
      </c>
      <c r="V26" s="7"/>
      <c r="W26" s="7"/>
      <c r="X26" s="7"/>
      <c r="Y26" s="7"/>
      <c r="Z26" s="11">
        <v>82312000</v>
      </c>
      <c r="AA26" s="7">
        <v>82703000</v>
      </c>
      <c r="AB26" s="7">
        <v>83093000</v>
      </c>
      <c r="AC26" s="7">
        <v>83644000</v>
      </c>
      <c r="AD26" s="7">
        <v>84231000</v>
      </c>
      <c r="AE26" s="7">
        <v>84890000</v>
      </c>
      <c r="AF26" s="7">
        <v>85695000</v>
      </c>
      <c r="AG26" s="7">
        <v>86844000</v>
      </c>
      <c r="AH26" s="7">
        <v>87835000</v>
      </c>
      <c r="AI26" s="7">
        <v>89040000</v>
      </c>
      <c r="AJ26" s="7">
        <v>90101000</v>
      </c>
      <c r="AK26" s="7">
        <v>91401000</v>
      </c>
      <c r="AL26" s="2">
        <v>92549000</v>
      </c>
      <c r="AM26" s="2">
        <v>93685000</v>
      </c>
      <c r="AN26" s="2">
        <v>94556000</v>
      </c>
      <c r="AW26" s="2">
        <v>12999.25</v>
      </c>
      <c r="AX26" s="2">
        <v>24279</v>
      </c>
      <c r="AZ26" s="2">
        <v>11814.591002261006</v>
      </c>
      <c r="BA26" s="2">
        <v>20643.441767533273</v>
      </c>
    </row>
    <row r="27" spans="1:53" x14ac:dyDescent="0.15">
      <c r="A27" s="2" t="s">
        <v>44</v>
      </c>
      <c r="B27" s="2" t="s">
        <v>75</v>
      </c>
      <c r="C27" s="2" t="s">
        <v>49</v>
      </c>
      <c r="D27" s="2" t="s">
        <v>76</v>
      </c>
      <c r="E27" s="7">
        <v>34978925</v>
      </c>
      <c r="F27" s="7">
        <v>35045487</v>
      </c>
      <c r="G27" s="7">
        <v>35266840.5</v>
      </c>
      <c r="H27" s="7">
        <v>35178983</v>
      </c>
      <c r="I27" s="7">
        <v>35209481.5</v>
      </c>
      <c r="J27" s="7">
        <v>35315426</v>
      </c>
      <c r="K27" s="7">
        <v>35502665</v>
      </c>
      <c r="L27" s="7">
        <v>35562043.5</v>
      </c>
      <c r="M27" s="7">
        <v>35651370.5</v>
      </c>
      <c r="N27" s="7">
        <v>35701842</v>
      </c>
      <c r="O27" s="7">
        <v>35784161</v>
      </c>
      <c r="P27" s="7">
        <v>35874109.5</v>
      </c>
      <c r="Q27" s="7">
        <v>35961171</v>
      </c>
      <c r="R27" s="7">
        <v>36063538.5</v>
      </c>
      <c r="S27" s="7">
        <v>36143947</v>
      </c>
      <c r="T27" s="7">
        <v>36201235.5</v>
      </c>
      <c r="U27" s="7">
        <v>36325454</v>
      </c>
      <c r="V27" s="7"/>
      <c r="W27" s="7"/>
      <c r="X27" s="7"/>
      <c r="Y27" s="7"/>
      <c r="Z27" s="11">
        <v>32485000</v>
      </c>
      <c r="AA27" s="7">
        <v>32640000</v>
      </c>
      <c r="AB27" s="7">
        <v>32800000</v>
      </c>
      <c r="AC27" s="7">
        <v>33034000</v>
      </c>
      <c r="AD27" s="7">
        <v>33368000</v>
      </c>
      <c r="AE27" s="7">
        <v>33735000</v>
      </c>
      <c r="AF27" s="7">
        <v>34238000</v>
      </c>
      <c r="AG27" s="7">
        <v>34973000</v>
      </c>
      <c r="AH27" s="7">
        <v>35526000</v>
      </c>
      <c r="AI27" s="7">
        <v>36248000</v>
      </c>
      <c r="AJ27" s="7">
        <v>36772000</v>
      </c>
      <c r="AK27" s="7">
        <v>37374000</v>
      </c>
      <c r="AL27" s="2">
        <v>37736000</v>
      </c>
      <c r="AM27" s="2">
        <v>38173000</v>
      </c>
      <c r="AN27" s="2">
        <v>38410000</v>
      </c>
      <c r="AW27" s="2">
        <v>13569.25</v>
      </c>
      <c r="AX27" s="2">
        <v>23774.5</v>
      </c>
      <c r="AZ27" s="2">
        <v>12367.974630102091</v>
      </c>
      <c r="BA27" s="2">
        <v>21248.770228463527</v>
      </c>
    </row>
    <row r="28" spans="1:53" x14ac:dyDescent="0.15">
      <c r="A28" s="6" t="s">
        <v>47</v>
      </c>
      <c r="B28" s="2" t="s">
        <v>75</v>
      </c>
      <c r="C28" s="2" t="s">
        <v>50</v>
      </c>
      <c r="D28" s="2" t="s">
        <v>76</v>
      </c>
      <c r="E28" s="7">
        <f>E25-E26</f>
        <v>234669674.5</v>
      </c>
      <c r="F28" s="7">
        <f t="shared" ref="F28:U28" si="4">F25-F26</f>
        <v>237054189</v>
      </c>
      <c r="G28" s="7">
        <f t="shared" si="4"/>
        <v>238823351</v>
      </c>
      <c r="H28" s="7">
        <f t="shared" si="4"/>
        <v>240440845.5</v>
      </c>
      <c r="I28" s="7">
        <f t="shared" si="4"/>
        <v>241824147.5</v>
      </c>
      <c r="J28" s="7">
        <f t="shared" si="4"/>
        <v>243376001.5</v>
      </c>
      <c r="K28" s="7">
        <f t="shared" si="4"/>
        <v>244938192</v>
      </c>
      <c r="L28" s="7">
        <f t="shared" si="4"/>
        <v>246832520</v>
      </c>
      <c r="M28" s="7">
        <f t="shared" si="4"/>
        <v>249163149.5</v>
      </c>
      <c r="N28" s="7">
        <f t="shared" si="4"/>
        <v>251736378.5</v>
      </c>
      <c r="O28" s="7">
        <f t="shared" si="4"/>
        <v>254298642</v>
      </c>
      <c r="P28" s="7">
        <f t="shared" si="4"/>
        <v>256880737</v>
      </c>
      <c r="Q28" s="7">
        <f t="shared" si="4"/>
        <v>259363920.5</v>
      </c>
      <c r="R28" s="7">
        <f t="shared" si="4"/>
        <v>261766085</v>
      </c>
      <c r="S28" s="7">
        <f t="shared" si="4"/>
        <v>264699374.5</v>
      </c>
      <c r="T28" s="7">
        <f t="shared" si="4"/>
        <v>267349252</v>
      </c>
      <c r="U28" s="7">
        <f t="shared" si="4"/>
        <v>270078590.5</v>
      </c>
      <c r="V28" s="7"/>
      <c r="W28" s="7"/>
      <c r="X28" s="7"/>
      <c r="Y28" s="7"/>
      <c r="Z28" s="11">
        <f>Z25-Z26</f>
        <v>221335000</v>
      </c>
      <c r="AA28" s="7">
        <f t="shared" ref="AA28:AN28" si="5">AA25-AA26</f>
        <v>222740000</v>
      </c>
      <c r="AB28" s="7">
        <f t="shared" si="5"/>
        <v>224474000</v>
      </c>
      <c r="AC28" s="7">
        <f t="shared" si="5"/>
        <v>225996000</v>
      </c>
      <c r="AD28" s="7">
        <f t="shared" si="5"/>
        <v>227262000</v>
      </c>
      <c r="AE28" s="7">
        <f t="shared" si="5"/>
        <v>228540000</v>
      </c>
      <c r="AF28" s="7">
        <f t="shared" si="5"/>
        <v>230153000</v>
      </c>
      <c r="AG28" s="7">
        <f t="shared" si="5"/>
        <v>232234000</v>
      </c>
      <c r="AH28" s="7">
        <f t="shared" si="5"/>
        <v>234226000</v>
      </c>
      <c r="AI28" s="7">
        <f t="shared" si="5"/>
        <v>237082000</v>
      </c>
      <c r="AJ28" s="7">
        <f t="shared" si="5"/>
        <v>239919000</v>
      </c>
      <c r="AK28" s="7">
        <f t="shared" si="5"/>
        <v>242652000</v>
      </c>
      <c r="AL28" s="7">
        <f t="shared" si="5"/>
        <v>245626000</v>
      </c>
      <c r="AM28" s="7">
        <f t="shared" si="5"/>
        <v>248290000</v>
      </c>
      <c r="AN28" s="7">
        <f t="shared" si="5"/>
        <v>250160000</v>
      </c>
      <c r="AW28" s="2">
        <v>12997.75</v>
      </c>
      <c r="AX28" s="2">
        <v>21176.75</v>
      </c>
      <c r="AZ28" s="2">
        <v>12480.603767569821</v>
      </c>
      <c r="BA28" s="2">
        <v>20951.911933652049</v>
      </c>
    </row>
    <row r="29" spans="1:53" x14ac:dyDescent="0.15">
      <c r="A29" s="6" t="s">
        <v>48</v>
      </c>
      <c r="B29" s="2" t="s">
        <v>75</v>
      </c>
      <c r="C29" s="2" t="s">
        <v>50</v>
      </c>
      <c r="D29" s="2" t="s">
        <v>76</v>
      </c>
      <c r="E29" s="7">
        <f>E25-E27</f>
        <v>290628937</v>
      </c>
      <c r="F29" s="7">
        <f t="shared" ref="F29:U29" si="6">F25-F27</f>
        <v>293425252</v>
      </c>
      <c r="G29" s="7">
        <f t="shared" si="6"/>
        <v>295444392.5</v>
      </c>
      <c r="H29" s="7">
        <f t="shared" si="6"/>
        <v>297350086.5</v>
      </c>
      <c r="I29" s="7">
        <f t="shared" si="6"/>
        <v>299036193</v>
      </c>
      <c r="J29" s="7">
        <f t="shared" si="6"/>
        <v>300853530.5</v>
      </c>
      <c r="K29" s="7">
        <f t="shared" si="6"/>
        <v>302695616.5</v>
      </c>
      <c r="L29" s="7">
        <f t="shared" si="6"/>
        <v>304981008</v>
      </c>
      <c r="M29" s="7">
        <f t="shared" si="6"/>
        <v>307605298</v>
      </c>
      <c r="N29" s="7">
        <f t="shared" si="6"/>
        <v>310543068.5</v>
      </c>
      <c r="O29" s="7">
        <f t="shared" si="6"/>
        <v>313429737.5</v>
      </c>
      <c r="P29" s="7">
        <f t="shared" si="6"/>
        <v>316448113.5</v>
      </c>
      <c r="Q29" s="7">
        <f t="shared" si="6"/>
        <v>319269211</v>
      </c>
      <c r="R29" s="7">
        <f t="shared" si="6"/>
        <v>322037498</v>
      </c>
      <c r="S29" s="7">
        <f t="shared" si="6"/>
        <v>325304137.5</v>
      </c>
      <c r="T29" s="7">
        <f t="shared" si="6"/>
        <v>328343700</v>
      </c>
      <c r="U29" s="7">
        <f t="shared" si="6"/>
        <v>331540181</v>
      </c>
      <c r="V29" s="7"/>
      <c r="W29" s="7"/>
      <c r="X29" s="7"/>
      <c r="Y29" s="7"/>
      <c r="Z29" s="11">
        <f>Z25-Z27</f>
        <v>271162000</v>
      </c>
      <c r="AA29" s="7">
        <f t="shared" ref="AA29:AN29" si="7">AA25-AA27</f>
        <v>272803000</v>
      </c>
      <c r="AB29" s="7">
        <f t="shared" si="7"/>
        <v>274767000</v>
      </c>
      <c r="AC29" s="7">
        <f t="shared" si="7"/>
        <v>276606000</v>
      </c>
      <c r="AD29" s="7">
        <f t="shared" si="7"/>
        <v>278125000</v>
      </c>
      <c r="AE29" s="7">
        <f t="shared" si="7"/>
        <v>279695000</v>
      </c>
      <c r="AF29" s="7">
        <f t="shared" si="7"/>
        <v>281610000</v>
      </c>
      <c r="AG29" s="7">
        <f t="shared" si="7"/>
        <v>284105000</v>
      </c>
      <c r="AH29" s="7">
        <f t="shared" si="7"/>
        <v>286535000</v>
      </c>
      <c r="AI29" s="7">
        <f t="shared" si="7"/>
        <v>289874000</v>
      </c>
      <c r="AJ29" s="7">
        <f t="shared" si="7"/>
        <v>293248000</v>
      </c>
      <c r="AK29" s="7">
        <f t="shared" si="7"/>
        <v>296679000</v>
      </c>
      <c r="AL29" s="7">
        <f t="shared" si="7"/>
        <v>300439000</v>
      </c>
      <c r="AM29" s="7">
        <f t="shared" si="7"/>
        <v>303802000</v>
      </c>
      <c r="AN29" s="7">
        <f t="shared" si="7"/>
        <v>306306000</v>
      </c>
      <c r="AW29" s="2">
        <v>11637</v>
      </c>
      <c r="AX29" s="2">
        <v>17892.5</v>
      </c>
      <c r="AZ29" s="2">
        <v>12276.104180207944</v>
      </c>
      <c r="BA29" s="2">
        <v>20220.101485835337</v>
      </c>
    </row>
    <row r="30" spans="1:53" x14ac:dyDescent="0.15">
      <c r="A30" s="2" t="s">
        <v>42</v>
      </c>
      <c r="B30" s="2" t="s">
        <v>75</v>
      </c>
      <c r="C30" s="2" t="s">
        <v>32</v>
      </c>
      <c r="D30" s="2" t="s">
        <v>76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>
        <v>371887733.5</v>
      </c>
      <c r="W30" s="7">
        <v>376701468</v>
      </c>
      <c r="X30" s="7">
        <v>381267194</v>
      </c>
      <c r="Y30" s="7">
        <v>384556637</v>
      </c>
      <c r="Z30" s="11">
        <v>386939750.5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W30" s="2">
        <v>11964</v>
      </c>
      <c r="AX30" s="2">
        <v>19541</v>
      </c>
      <c r="AZ30" s="2">
        <v>11960.845030749033</v>
      </c>
      <c r="BA30" s="2">
        <v>19556.547578365564</v>
      </c>
    </row>
    <row r="31" spans="1:53" x14ac:dyDescent="0.15">
      <c r="A31" s="2" t="s">
        <v>43</v>
      </c>
      <c r="B31" s="2" t="s">
        <v>75</v>
      </c>
      <c r="C31" s="2" t="s">
        <v>49</v>
      </c>
      <c r="D31" s="2" t="s">
        <v>76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98528253.5</v>
      </c>
      <c r="W31" s="7">
        <v>99562460.5</v>
      </c>
      <c r="X31" s="7">
        <v>100356691</v>
      </c>
      <c r="Y31" s="7">
        <v>100920257.5</v>
      </c>
      <c r="Z31" s="11">
        <v>101232801.5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W31" s="2">
        <v>11530</v>
      </c>
      <c r="AX31" s="2">
        <v>19040.75</v>
      </c>
      <c r="AZ31" s="2">
        <v>11638.938813092396</v>
      </c>
      <c r="BA31" s="2">
        <v>19092.042666861242</v>
      </c>
    </row>
    <row r="32" spans="1:53" x14ac:dyDescent="0.15">
      <c r="A32" s="2" t="s">
        <v>44</v>
      </c>
      <c r="B32" s="2" t="s">
        <v>75</v>
      </c>
      <c r="C32" s="2" t="s">
        <v>49</v>
      </c>
      <c r="D32" s="2" t="s">
        <v>76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36602233</v>
      </c>
      <c r="W32" s="7">
        <v>36962776.5</v>
      </c>
      <c r="X32" s="7">
        <v>37232548</v>
      </c>
      <c r="Y32" s="7">
        <v>37358832.5</v>
      </c>
      <c r="Z32" s="11">
        <v>37467333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W32" s="2">
        <v>11014.75</v>
      </c>
      <c r="AX32" s="2">
        <v>18082.25</v>
      </c>
      <c r="AZ32" s="2">
        <v>11415.002816217495</v>
      </c>
      <c r="BA32" s="2">
        <v>18954.891594402397</v>
      </c>
    </row>
    <row r="33" spans="1:53" x14ac:dyDescent="0.15">
      <c r="A33" s="6" t="s">
        <v>47</v>
      </c>
      <c r="B33" s="2" t="s">
        <v>75</v>
      </c>
      <c r="C33" s="2" t="s">
        <v>50</v>
      </c>
      <c r="D33" s="2" t="s">
        <v>76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f>V30-V31</f>
        <v>273359480</v>
      </c>
      <c r="W33" s="7">
        <f t="shared" ref="W33:Z33" si="8">W30-W31</f>
        <v>277139007.5</v>
      </c>
      <c r="X33" s="7">
        <f t="shared" si="8"/>
        <v>280910503</v>
      </c>
      <c r="Y33" s="7">
        <f t="shared" si="8"/>
        <v>283636379.5</v>
      </c>
      <c r="Z33" s="11">
        <f t="shared" si="8"/>
        <v>285706949</v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W33" s="2">
        <v>11104.5</v>
      </c>
      <c r="AX33" s="2">
        <v>18811.25</v>
      </c>
      <c r="AZ33" s="2">
        <v>11376.224119009006</v>
      </c>
      <c r="BA33" s="2">
        <v>19265.192377371266</v>
      </c>
    </row>
    <row r="34" spans="1:53" x14ac:dyDescent="0.15">
      <c r="A34" s="6" t="s">
        <v>48</v>
      </c>
      <c r="B34" s="2" t="s">
        <v>75</v>
      </c>
      <c r="C34" s="2" t="s">
        <v>50</v>
      </c>
      <c r="D34" s="2" t="s">
        <v>76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>
        <f>V30-V33</f>
        <v>98528253.5</v>
      </c>
      <c r="W34" s="7">
        <f t="shared" ref="W34:Z34" si="9">W30-W33</f>
        <v>99562460.5</v>
      </c>
      <c r="X34" s="7">
        <f t="shared" si="9"/>
        <v>100356691</v>
      </c>
      <c r="Y34" s="7">
        <f t="shared" si="9"/>
        <v>100920257.5</v>
      </c>
      <c r="Z34" s="11">
        <f t="shared" si="9"/>
        <v>101232801.5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W34" s="2">
        <v>11276.5</v>
      </c>
      <c r="AX34" s="2">
        <v>19714</v>
      </c>
      <c r="AZ34" s="2">
        <v>11545.749349756812</v>
      </c>
      <c r="BA34" s="2">
        <v>20003.420377045692</v>
      </c>
    </row>
    <row r="35" spans="1:53" ht="16" x14ac:dyDescent="0.2">
      <c r="A35" s="2" t="s">
        <v>77</v>
      </c>
      <c r="B35" s="2" t="s">
        <v>31</v>
      </c>
      <c r="C35" s="2" t="s">
        <v>32</v>
      </c>
      <c r="D35" s="2" t="s">
        <v>78</v>
      </c>
      <c r="E35" s="1">
        <v>177.9</v>
      </c>
      <c r="F35" s="1">
        <v>174.5</v>
      </c>
      <c r="G35" s="1">
        <v>174.7</v>
      </c>
      <c r="H35" s="1">
        <v>161</v>
      </c>
      <c r="I35" s="1">
        <v>185.7</v>
      </c>
      <c r="J35" s="1">
        <v>213.8</v>
      </c>
      <c r="K35" s="1">
        <v>217.6</v>
      </c>
      <c r="L35" s="1">
        <v>251.9</v>
      </c>
      <c r="M35" s="1">
        <v>267.89999999999998</v>
      </c>
      <c r="N35" s="1">
        <v>258.60000000000002</v>
      </c>
      <c r="O35" s="1">
        <v>295.60000000000002</v>
      </c>
      <c r="P35" s="1">
        <v>298.5</v>
      </c>
      <c r="Q35" s="1">
        <v>300</v>
      </c>
      <c r="R35" s="1">
        <v>300.5</v>
      </c>
      <c r="S35" s="1">
        <v>326.8</v>
      </c>
      <c r="T35" s="1">
        <v>352.5</v>
      </c>
      <c r="U35" s="1">
        <v>408.9</v>
      </c>
      <c r="V35" s="1">
        <v>439.8</v>
      </c>
      <c r="W35" s="1">
        <v>435</v>
      </c>
      <c r="X35" s="1">
        <v>329.2</v>
      </c>
      <c r="Y35" s="1">
        <v>323.10000000000002</v>
      </c>
      <c r="Z35" s="1">
        <v>351</v>
      </c>
      <c r="AA35" s="1">
        <v>364</v>
      </c>
      <c r="AB35" s="1">
        <v>374.6</v>
      </c>
      <c r="AC35" s="1">
        <v>399</v>
      </c>
      <c r="AD35" s="1">
        <v>417.1</v>
      </c>
      <c r="AE35" s="1">
        <v>455.6</v>
      </c>
      <c r="AF35" s="1">
        <v>480.8</v>
      </c>
      <c r="AG35" s="1">
        <v>505.5</v>
      </c>
      <c r="AH35" s="1">
        <v>504.2</v>
      </c>
      <c r="AI35" s="1">
        <v>529.6</v>
      </c>
      <c r="AJ35" s="1">
        <v>611.70000000000005</v>
      </c>
      <c r="AK35" s="1">
        <v>701.5</v>
      </c>
      <c r="AL35" s="1">
        <v>659.2</v>
      </c>
      <c r="AM35" s="1">
        <v>679.2</v>
      </c>
      <c r="AN35" s="1">
        <v>674.3</v>
      </c>
      <c r="AW35" s="2">
        <v>12026.5</v>
      </c>
      <c r="AX35" s="2">
        <v>21468.75</v>
      </c>
      <c r="AZ35" s="2">
        <v>11903.249277709352</v>
      </c>
      <c r="BA35" s="2">
        <v>21077.420174324121</v>
      </c>
    </row>
    <row r="36" spans="1:53" ht="16" x14ac:dyDescent="0.2">
      <c r="A36" s="2" t="s">
        <v>77</v>
      </c>
      <c r="B36" s="2" t="s">
        <v>31</v>
      </c>
      <c r="C36" s="2" t="s">
        <v>32</v>
      </c>
      <c r="D36" s="2" t="s">
        <v>79</v>
      </c>
      <c r="E36" s="1">
        <v>252.1</v>
      </c>
      <c r="F36" s="1">
        <v>242.4</v>
      </c>
      <c r="G36" s="1">
        <v>246</v>
      </c>
      <c r="H36" s="1">
        <v>226.6</v>
      </c>
      <c r="I36" s="1">
        <v>257.2</v>
      </c>
      <c r="J36" s="1">
        <v>294.7</v>
      </c>
      <c r="K36" s="1">
        <v>297.8</v>
      </c>
      <c r="L36" s="1">
        <v>340.4</v>
      </c>
      <c r="M36" s="1">
        <v>360.7</v>
      </c>
      <c r="N36" s="1">
        <v>343.3</v>
      </c>
      <c r="O36" s="1">
        <v>383.5</v>
      </c>
      <c r="P36" s="1">
        <v>377.7</v>
      </c>
      <c r="Q36" s="1">
        <v>372.8</v>
      </c>
      <c r="R36" s="1">
        <v>371.3</v>
      </c>
      <c r="S36" s="1">
        <v>396.6</v>
      </c>
      <c r="T36" s="1">
        <v>419.3</v>
      </c>
      <c r="U36" s="1">
        <v>472.5</v>
      </c>
      <c r="V36" s="1">
        <v>485.4</v>
      </c>
      <c r="W36" s="1">
        <v>464.5</v>
      </c>
      <c r="X36" s="1">
        <v>363.9</v>
      </c>
      <c r="Y36" s="1">
        <v>356.8</v>
      </c>
      <c r="Z36" s="1">
        <v>379.2</v>
      </c>
      <c r="AA36" s="1">
        <v>384.8</v>
      </c>
      <c r="AB36" s="1">
        <v>397.2</v>
      </c>
      <c r="AC36" s="1">
        <v>421.6</v>
      </c>
      <c r="AD36" s="1">
        <v>439.1</v>
      </c>
      <c r="AE36" s="1">
        <v>472.7</v>
      </c>
      <c r="AF36" s="1">
        <v>494.8</v>
      </c>
      <c r="AG36" s="1">
        <v>514.9</v>
      </c>
      <c r="AH36" s="1">
        <v>507.8</v>
      </c>
      <c r="AI36" s="1">
        <v>529.6</v>
      </c>
      <c r="AJ36" s="1">
        <v>602.1</v>
      </c>
      <c r="AK36" s="1">
        <v>634.6</v>
      </c>
      <c r="AL36" s="1">
        <v>575.1</v>
      </c>
      <c r="AM36" s="1">
        <v>584.6</v>
      </c>
      <c r="AN36" s="1">
        <v>563.6</v>
      </c>
      <c r="AW36" s="2">
        <v>12473.25</v>
      </c>
      <c r="AX36" s="2">
        <v>22669.25</v>
      </c>
      <c r="AZ36" s="2">
        <v>12385.31477615398</v>
      </c>
      <c r="BA36" s="2">
        <v>22348.729089777695</v>
      </c>
    </row>
    <row r="37" spans="1:53" ht="15" customHeight="1" x14ac:dyDescent="0.2">
      <c r="A37" s="2" t="s">
        <v>42</v>
      </c>
      <c r="B37" s="2" t="s">
        <v>81</v>
      </c>
      <c r="C37" s="2" t="s">
        <v>32</v>
      </c>
      <c r="D37" s="2" t="s">
        <v>82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2">
        <v>10449332</v>
      </c>
      <c r="V37">
        <v>10656146</v>
      </c>
      <c r="W37">
        <v>10653079</v>
      </c>
      <c r="X37">
        <v>10493619</v>
      </c>
      <c r="Y37">
        <v>10388001</v>
      </c>
      <c r="Z37">
        <v>10518676</v>
      </c>
      <c r="AA37">
        <v>10921893</v>
      </c>
      <c r="AB37">
        <v>11267700</v>
      </c>
      <c r="AC37">
        <v>11227688</v>
      </c>
      <c r="AD37">
        <v>11454750</v>
      </c>
      <c r="AE37">
        <v>11452733</v>
      </c>
      <c r="AF37">
        <v>10789533</v>
      </c>
      <c r="AG37">
        <v>9786572</v>
      </c>
      <c r="AH37">
        <v>8665087</v>
      </c>
      <c r="AI37">
        <v>7528382</v>
      </c>
      <c r="AJ37">
        <v>7180092</v>
      </c>
      <c r="AK37">
        <v>6830268</v>
      </c>
      <c r="AL37">
        <v>6587438</v>
      </c>
      <c r="AM37">
        <v>6613050</v>
      </c>
      <c r="AN37">
        <v>6104424</v>
      </c>
      <c r="AW37" s="2">
        <v>13034.5</v>
      </c>
      <c r="AX37" s="2">
        <v>24017.25</v>
      </c>
      <c r="AZ37" s="2">
        <v>12948.256833944553</v>
      </c>
      <c r="BA37" s="2">
        <v>23741.497216085692</v>
      </c>
    </row>
    <row r="38" spans="1:53" ht="15" customHeight="1" x14ac:dyDescent="0.2">
      <c r="A38" s="2" t="s">
        <v>43</v>
      </c>
      <c r="B38" s="2" t="s">
        <v>81</v>
      </c>
      <c r="C38" s="2" t="s">
        <v>49</v>
      </c>
      <c r="D38" s="2" t="s">
        <v>82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2">
        <v>1639312</v>
      </c>
      <c r="V38">
        <v>1750214</v>
      </c>
      <c r="W38">
        <v>1795944</v>
      </c>
      <c r="X38">
        <v>1758326</v>
      </c>
      <c r="Y38">
        <v>1765284</v>
      </c>
      <c r="Z38">
        <v>1761878</v>
      </c>
      <c r="AA38">
        <v>1634548</v>
      </c>
      <c r="AB38">
        <v>1670231</v>
      </c>
      <c r="AC38">
        <v>1575224</v>
      </c>
      <c r="AD38">
        <v>1461747</v>
      </c>
      <c r="AE38">
        <v>1503038</v>
      </c>
      <c r="AF38">
        <v>1429824</v>
      </c>
      <c r="AG38">
        <v>1351162</v>
      </c>
      <c r="AH38">
        <v>1245108</v>
      </c>
      <c r="AI38">
        <v>1084242</v>
      </c>
      <c r="AJ38">
        <v>1038065</v>
      </c>
      <c r="AK38">
        <v>1034132</v>
      </c>
      <c r="AL38">
        <v>1041679</v>
      </c>
      <c r="AM38">
        <v>1038731</v>
      </c>
      <c r="AN38">
        <v>905258</v>
      </c>
      <c r="AW38" s="2">
        <v>13592.5</v>
      </c>
      <c r="AX38" s="2">
        <v>25153.25</v>
      </c>
      <c r="AZ38" s="2">
        <v>13562.456075750297</v>
      </c>
      <c r="BA38" s="2">
        <v>25231.157991562974</v>
      </c>
    </row>
    <row r="39" spans="1:53" ht="15" customHeight="1" x14ac:dyDescent="0.2">
      <c r="A39" s="2" t="s">
        <v>44</v>
      </c>
      <c r="B39" s="2" t="s">
        <v>81</v>
      </c>
      <c r="C39" s="2" t="s">
        <v>49</v>
      </c>
      <c r="D39" s="2" t="s">
        <v>82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12">
        <v>585364</v>
      </c>
      <c r="V39">
        <v>636079</v>
      </c>
      <c r="W39">
        <v>661165</v>
      </c>
      <c r="X39">
        <v>578919</v>
      </c>
      <c r="Y39">
        <v>642525</v>
      </c>
      <c r="Z39">
        <v>617113</v>
      </c>
      <c r="AA39">
        <v>551052</v>
      </c>
      <c r="AB39">
        <v>591910</v>
      </c>
      <c r="AC39">
        <v>498168</v>
      </c>
      <c r="AD39">
        <v>426152</v>
      </c>
      <c r="AE39">
        <v>438076</v>
      </c>
      <c r="AF39">
        <v>378156</v>
      </c>
      <c r="AG39">
        <v>423737</v>
      </c>
      <c r="AH39">
        <v>426577</v>
      </c>
      <c r="AI39">
        <v>379274</v>
      </c>
      <c r="AJ39">
        <v>396831</v>
      </c>
      <c r="AK39">
        <v>387148</v>
      </c>
      <c r="AL39">
        <v>390020</v>
      </c>
      <c r="AM39">
        <v>405255</v>
      </c>
      <c r="AN39">
        <v>341497</v>
      </c>
      <c r="AW39" s="2">
        <v>13985.25</v>
      </c>
      <c r="AX39" s="2">
        <v>25947.5</v>
      </c>
      <c r="AZ39" s="2">
        <v>14212.092032809307</v>
      </c>
      <c r="BA39" s="2">
        <v>26837.265299950679</v>
      </c>
    </row>
    <row r="40" spans="1:53" ht="17" customHeight="1" x14ac:dyDescent="0.2">
      <c r="A40" s="6" t="s">
        <v>47</v>
      </c>
      <c r="B40" s="2" t="s">
        <v>81</v>
      </c>
      <c r="C40" s="2" t="s">
        <v>50</v>
      </c>
      <c r="D40" s="2" t="s">
        <v>82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1">
        <f>U37-U38</f>
        <v>8810020</v>
      </c>
      <c r="V40" s="1">
        <f t="shared" ref="V40:AN40" si="10">V37-V38</f>
        <v>8905932</v>
      </c>
      <c r="W40" s="1">
        <f t="shared" si="10"/>
        <v>8857135</v>
      </c>
      <c r="X40" s="1">
        <f t="shared" si="10"/>
        <v>8735293</v>
      </c>
      <c r="Y40" s="1">
        <f t="shared" si="10"/>
        <v>8622717</v>
      </c>
      <c r="Z40" s="1">
        <f t="shared" si="10"/>
        <v>8756798</v>
      </c>
      <c r="AA40" s="1">
        <f t="shared" si="10"/>
        <v>9287345</v>
      </c>
      <c r="AB40" s="1">
        <f t="shared" si="10"/>
        <v>9597469</v>
      </c>
      <c r="AC40" s="1">
        <f t="shared" si="10"/>
        <v>9652464</v>
      </c>
      <c r="AD40" s="1">
        <f t="shared" si="10"/>
        <v>9993003</v>
      </c>
      <c r="AE40" s="1">
        <f t="shared" si="10"/>
        <v>9949695</v>
      </c>
      <c r="AF40" s="1">
        <f t="shared" si="10"/>
        <v>9359709</v>
      </c>
      <c r="AG40" s="1">
        <f t="shared" si="10"/>
        <v>8435410</v>
      </c>
      <c r="AH40" s="1">
        <f t="shared" si="10"/>
        <v>7419979</v>
      </c>
      <c r="AI40" s="1">
        <f t="shared" si="10"/>
        <v>6444140</v>
      </c>
      <c r="AJ40" s="1">
        <f t="shared" si="10"/>
        <v>6142027</v>
      </c>
      <c r="AK40" s="1">
        <f t="shared" si="10"/>
        <v>5796136</v>
      </c>
      <c r="AL40" s="1">
        <f t="shared" si="10"/>
        <v>5545759</v>
      </c>
      <c r="AM40" s="1">
        <f t="shared" si="10"/>
        <v>5574319</v>
      </c>
      <c r="AN40" s="1">
        <f t="shared" si="10"/>
        <v>5199166</v>
      </c>
      <c r="AW40" s="2">
        <v>14574.5</v>
      </c>
      <c r="AX40" s="2">
        <v>27494.75</v>
      </c>
      <c r="AZ40" s="2">
        <v>14886.151264239626</v>
      </c>
      <c r="BA40" s="2">
        <v>28566.907746339864</v>
      </c>
    </row>
    <row r="41" spans="1:53" ht="16" x14ac:dyDescent="0.2">
      <c r="A41" s="6" t="s">
        <v>48</v>
      </c>
      <c r="B41" s="2" t="s">
        <v>81</v>
      </c>
      <c r="C41" s="2" t="s">
        <v>50</v>
      </c>
      <c r="D41" s="2" t="s">
        <v>82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1">
        <f>U37-U39</f>
        <v>9863968</v>
      </c>
      <c r="V41" s="1">
        <f t="shared" ref="V41:AN41" si="11">V37-V39</f>
        <v>10020067</v>
      </c>
      <c r="W41" s="1">
        <f t="shared" si="11"/>
        <v>9991914</v>
      </c>
      <c r="X41" s="1">
        <f t="shared" si="11"/>
        <v>9914700</v>
      </c>
      <c r="Y41" s="1">
        <f t="shared" si="11"/>
        <v>9745476</v>
      </c>
      <c r="Z41" s="1">
        <f t="shared" si="11"/>
        <v>9901563</v>
      </c>
      <c r="AA41" s="1">
        <f t="shared" si="11"/>
        <v>10370841</v>
      </c>
      <c r="AB41" s="1">
        <f t="shared" si="11"/>
        <v>10675790</v>
      </c>
      <c r="AC41" s="1">
        <f t="shared" si="11"/>
        <v>10729520</v>
      </c>
      <c r="AD41" s="1">
        <f t="shared" si="11"/>
        <v>11028598</v>
      </c>
      <c r="AE41" s="1">
        <f t="shared" si="11"/>
        <v>11014657</v>
      </c>
      <c r="AF41" s="1">
        <f t="shared" si="11"/>
        <v>10411377</v>
      </c>
      <c r="AG41" s="1">
        <f t="shared" si="11"/>
        <v>9362835</v>
      </c>
      <c r="AH41" s="1">
        <f t="shared" si="11"/>
        <v>8238510</v>
      </c>
      <c r="AI41" s="1">
        <f t="shared" si="11"/>
        <v>7149108</v>
      </c>
      <c r="AJ41" s="1">
        <f t="shared" si="11"/>
        <v>6783261</v>
      </c>
      <c r="AK41" s="1">
        <f t="shared" si="11"/>
        <v>6443120</v>
      </c>
      <c r="AL41" s="1">
        <f t="shared" si="11"/>
        <v>6197418</v>
      </c>
      <c r="AM41" s="1">
        <f t="shared" si="11"/>
        <v>6207795</v>
      </c>
      <c r="AN41" s="1">
        <f t="shared" si="11"/>
        <v>5762927</v>
      </c>
      <c r="AW41" s="2">
        <v>16309</v>
      </c>
      <c r="AX41" s="2">
        <v>32447.5</v>
      </c>
      <c r="AZ41" s="2">
        <v>15537.325603909812</v>
      </c>
      <c r="BA41" s="2">
        <v>30284.811487829491</v>
      </c>
    </row>
    <row r="42" spans="1:53" ht="16" x14ac:dyDescent="0.2">
      <c r="A42" s="2" t="s">
        <v>42</v>
      </c>
      <c r="B42" s="2" t="s">
        <v>84</v>
      </c>
      <c r="C42" s="2" t="s">
        <v>32</v>
      </c>
      <c r="D42" s="2" t="s">
        <v>83</v>
      </c>
      <c r="E42" s="1">
        <v>27237</v>
      </c>
      <c r="F42" s="1">
        <v>20447</v>
      </c>
      <c r="G42" s="1">
        <v>16383</v>
      </c>
      <c r="H42" s="1">
        <v>14131</v>
      </c>
      <c r="I42" s="1">
        <v>13787</v>
      </c>
      <c r="J42" s="1">
        <v>13503</v>
      </c>
      <c r="K42" s="1">
        <v>14239</v>
      </c>
      <c r="L42" s="1">
        <v>17725</v>
      </c>
      <c r="M42" s="1">
        <v>18112</v>
      </c>
      <c r="N42" s="1">
        <v>17241</v>
      </c>
      <c r="O42" s="1">
        <v>16332</v>
      </c>
      <c r="P42" s="1">
        <v>17379</v>
      </c>
      <c r="Q42" s="1">
        <v>18796</v>
      </c>
      <c r="R42" s="1">
        <v>23784</v>
      </c>
      <c r="S42" s="1">
        <v>26259</v>
      </c>
      <c r="T42" s="1">
        <v>27282</v>
      </c>
      <c r="U42" s="11">
        <v>28940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W42" s="2">
        <v>16444.5</v>
      </c>
      <c r="AX42" s="2">
        <v>32957.5</v>
      </c>
      <c r="AZ42" s="2">
        <v>16068.442683410085</v>
      </c>
      <c r="BA42" s="2">
        <v>31684.157442104144</v>
      </c>
    </row>
    <row r="43" spans="1:53" x14ac:dyDescent="0.15">
      <c r="A43" s="2" t="s">
        <v>43</v>
      </c>
      <c r="B43" s="2" t="s">
        <v>84</v>
      </c>
      <c r="C43" s="2" t="s">
        <v>49</v>
      </c>
      <c r="D43" s="2" t="s">
        <v>83</v>
      </c>
      <c r="E43" s="7">
        <v>4868</v>
      </c>
      <c r="F43" s="7">
        <v>5032</v>
      </c>
      <c r="G43" s="7">
        <v>4045</v>
      </c>
      <c r="H43" s="7">
        <v>2876</v>
      </c>
      <c r="I43" s="7">
        <v>3654</v>
      </c>
      <c r="J43" s="7">
        <v>3931</v>
      </c>
      <c r="K43" s="7">
        <v>3643</v>
      </c>
      <c r="L43" s="7">
        <v>3038</v>
      </c>
      <c r="M43" s="7">
        <v>3452</v>
      </c>
      <c r="N43" s="7">
        <v>3003</v>
      </c>
      <c r="O43" s="7">
        <v>3185</v>
      </c>
      <c r="P43" s="7">
        <v>3295</v>
      </c>
      <c r="Q43" s="7">
        <v>3856</v>
      </c>
      <c r="R43" s="7">
        <v>3924</v>
      </c>
      <c r="S43" s="7">
        <v>4594</v>
      </c>
      <c r="T43" s="7">
        <v>7239</v>
      </c>
      <c r="U43" s="11">
        <v>8408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W43" s="2">
        <v>16011</v>
      </c>
      <c r="AX43" s="2">
        <v>31513.25</v>
      </c>
      <c r="AZ43" s="2">
        <v>16505.798037705099</v>
      </c>
      <c r="BA43" s="2">
        <v>32804.156688795694</v>
      </c>
    </row>
    <row r="44" spans="1:53" ht="16" x14ac:dyDescent="0.2">
      <c r="A44" s="2" t="s">
        <v>44</v>
      </c>
      <c r="B44" s="2" t="s">
        <v>84</v>
      </c>
      <c r="C44" s="2" t="s">
        <v>49</v>
      </c>
      <c r="D44" s="2" t="s">
        <v>83</v>
      </c>
      <c r="E44" s="1">
        <v>659</v>
      </c>
      <c r="F44" s="1">
        <v>2047</v>
      </c>
      <c r="G44" s="1">
        <v>900</v>
      </c>
      <c r="H44" s="1">
        <v>795</v>
      </c>
      <c r="I44" s="1">
        <v>1597</v>
      </c>
      <c r="J44" s="1">
        <v>1931</v>
      </c>
      <c r="K44" s="1">
        <v>1046</v>
      </c>
      <c r="L44" s="1">
        <v>1086</v>
      </c>
      <c r="M44" s="1">
        <v>756</v>
      </c>
      <c r="N44" s="1">
        <v>802</v>
      </c>
      <c r="O44" s="1">
        <v>935</v>
      </c>
      <c r="P44" s="1">
        <v>1192</v>
      </c>
      <c r="Q44" s="1">
        <v>1032</v>
      </c>
      <c r="R44" s="1">
        <v>967</v>
      </c>
      <c r="S44" s="1">
        <v>1763</v>
      </c>
      <c r="T44" s="1">
        <v>3158</v>
      </c>
      <c r="U44" s="11">
        <v>4085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W44" s="2">
        <v>16890.25</v>
      </c>
      <c r="AX44" s="2">
        <v>33660.25</v>
      </c>
      <c r="AZ44" s="2">
        <v>16935.856372413891</v>
      </c>
      <c r="BA44" s="2">
        <v>33887.755116799352</v>
      </c>
    </row>
    <row r="45" spans="1:53" x14ac:dyDescent="0.15">
      <c r="A45" s="6" t="s">
        <v>47</v>
      </c>
      <c r="B45" s="2" t="s">
        <v>84</v>
      </c>
      <c r="C45" s="2" t="s">
        <v>50</v>
      </c>
      <c r="D45" s="2" t="s">
        <v>83</v>
      </c>
      <c r="E45" s="7">
        <f>E42-E43</f>
        <v>22369</v>
      </c>
      <c r="F45" s="7">
        <f t="shared" ref="F45:T45" si="12">F42-F43</f>
        <v>15415</v>
      </c>
      <c r="G45" s="7">
        <f t="shared" si="12"/>
        <v>12338</v>
      </c>
      <c r="H45" s="7">
        <f t="shared" si="12"/>
        <v>11255</v>
      </c>
      <c r="I45" s="7">
        <f t="shared" si="12"/>
        <v>10133</v>
      </c>
      <c r="J45" s="7">
        <f t="shared" si="12"/>
        <v>9572</v>
      </c>
      <c r="K45" s="7">
        <f t="shared" si="12"/>
        <v>10596</v>
      </c>
      <c r="L45" s="7">
        <f t="shared" si="12"/>
        <v>14687</v>
      </c>
      <c r="M45" s="7">
        <f t="shared" si="12"/>
        <v>14660</v>
      </c>
      <c r="N45" s="7">
        <f t="shared" si="12"/>
        <v>14238</v>
      </c>
      <c r="O45" s="7">
        <f t="shared" si="12"/>
        <v>13147</v>
      </c>
      <c r="P45" s="7">
        <f t="shared" si="12"/>
        <v>14084</v>
      </c>
      <c r="Q45" s="7">
        <f t="shared" si="12"/>
        <v>14940</v>
      </c>
      <c r="R45" s="7">
        <f t="shared" si="12"/>
        <v>19860</v>
      </c>
      <c r="S45" s="7">
        <f t="shared" si="12"/>
        <v>21665</v>
      </c>
      <c r="T45" s="7">
        <f t="shared" si="12"/>
        <v>20043</v>
      </c>
      <c r="U45" s="11">
        <f t="shared" ref="U45" si="13">U42-U43</f>
        <v>20532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53" ht="16" x14ac:dyDescent="0.2">
      <c r="A46" s="6" t="s">
        <v>48</v>
      </c>
      <c r="B46" s="2" t="s">
        <v>84</v>
      </c>
      <c r="C46" s="2" t="s">
        <v>50</v>
      </c>
      <c r="D46" s="2" t="s">
        <v>83</v>
      </c>
      <c r="E46" s="1">
        <f>E42-E44</f>
        <v>26578</v>
      </c>
      <c r="F46" s="1">
        <f t="shared" ref="F46:T46" si="14">F42-F44</f>
        <v>18400</v>
      </c>
      <c r="G46" s="1">
        <f t="shared" si="14"/>
        <v>15483</v>
      </c>
      <c r="H46" s="1">
        <f t="shared" si="14"/>
        <v>13336</v>
      </c>
      <c r="I46" s="1">
        <f t="shared" si="14"/>
        <v>12190</v>
      </c>
      <c r="J46" s="1">
        <f t="shared" si="14"/>
        <v>11572</v>
      </c>
      <c r="K46" s="1">
        <f t="shared" si="14"/>
        <v>13193</v>
      </c>
      <c r="L46" s="1">
        <f t="shared" si="14"/>
        <v>16639</v>
      </c>
      <c r="M46" s="1">
        <f t="shared" si="14"/>
        <v>17356</v>
      </c>
      <c r="N46" s="1">
        <f t="shared" si="14"/>
        <v>16439</v>
      </c>
      <c r="O46" s="1">
        <f t="shared" si="14"/>
        <v>15397</v>
      </c>
      <c r="P46" s="1">
        <f t="shared" si="14"/>
        <v>16187</v>
      </c>
      <c r="Q46" s="1">
        <f t="shared" si="14"/>
        <v>17764</v>
      </c>
      <c r="R46" s="1">
        <f t="shared" si="14"/>
        <v>22817</v>
      </c>
      <c r="S46" s="1">
        <f t="shared" si="14"/>
        <v>24496</v>
      </c>
      <c r="T46" s="1">
        <f t="shared" si="14"/>
        <v>24124</v>
      </c>
      <c r="U46" s="11">
        <f t="shared" ref="U46" si="15">U42-U44</f>
        <v>24855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53" ht="16" x14ac:dyDescent="0.2">
      <c r="A47" s="2" t="s">
        <v>42</v>
      </c>
      <c r="B47" s="2" t="s">
        <v>88</v>
      </c>
      <c r="C47" s="2" t="s">
        <v>32</v>
      </c>
      <c r="D47" s="2" t="s">
        <v>89</v>
      </c>
      <c r="E47" s="1">
        <v>43098.31</v>
      </c>
      <c r="F47" s="1">
        <v>43098.31</v>
      </c>
      <c r="G47" s="1">
        <v>43098.31</v>
      </c>
      <c r="H47" s="1">
        <v>43098.31</v>
      </c>
      <c r="I47" s="1">
        <v>43098.31</v>
      </c>
      <c r="J47" s="1">
        <v>43098.31</v>
      </c>
      <c r="K47" s="1">
        <v>43098.31</v>
      </c>
      <c r="L47" s="1">
        <v>43098.31</v>
      </c>
      <c r="M47" s="1">
        <v>43098.31</v>
      </c>
      <c r="N47" s="1">
        <v>43098.31</v>
      </c>
      <c r="O47" s="1">
        <v>43098.31</v>
      </c>
      <c r="P47" s="1">
        <v>43098.31</v>
      </c>
      <c r="Q47" s="1">
        <v>43098.31</v>
      </c>
      <c r="R47" s="1">
        <v>43098.31</v>
      </c>
      <c r="S47" s="1">
        <v>43098.31</v>
      </c>
      <c r="T47" s="1">
        <v>43098.31</v>
      </c>
      <c r="U47" s="1">
        <v>43098.31</v>
      </c>
      <c r="V47" s="1">
        <v>43098.31</v>
      </c>
      <c r="W47" s="1">
        <v>43098.31</v>
      </c>
      <c r="X47" s="1">
        <v>43098.31</v>
      </c>
      <c r="Y47" s="1">
        <v>43098.31</v>
      </c>
      <c r="Z47" s="1">
        <v>42890.6</v>
      </c>
      <c r="AA47" s="1">
        <v>42892.4</v>
      </c>
      <c r="AB47" s="1">
        <v>42915.7</v>
      </c>
      <c r="AC47" s="1">
        <v>42921.599999999999</v>
      </c>
      <c r="AD47" s="1">
        <v>42923.53</v>
      </c>
      <c r="AE47" s="1">
        <v>42925.46</v>
      </c>
      <c r="AF47" s="1">
        <v>42931</v>
      </c>
      <c r="AG47" s="1">
        <v>42934.1</v>
      </c>
      <c r="AH47" s="1">
        <v>42937.8</v>
      </c>
      <c r="AI47" s="1">
        <v>42943.9</v>
      </c>
      <c r="AJ47" s="1">
        <v>42947</v>
      </c>
      <c r="AK47" s="1">
        <v>42951.1</v>
      </c>
      <c r="AL47" s="1">
        <v>42952</v>
      </c>
      <c r="AM47" s="1">
        <v>42954.2</v>
      </c>
      <c r="AN47" s="1">
        <v>42955.6</v>
      </c>
      <c r="AO47" s="1"/>
    </row>
    <row r="48" spans="1:53" ht="16" x14ac:dyDescent="0.2">
      <c r="A48" s="2" t="s">
        <v>43</v>
      </c>
      <c r="B48" s="2" t="s">
        <v>88</v>
      </c>
      <c r="C48" s="2" t="s">
        <v>49</v>
      </c>
      <c r="D48" s="2" t="s">
        <v>89</v>
      </c>
      <c r="E48" s="1">
        <v>2561.27</v>
      </c>
      <c r="F48" s="1">
        <v>2561.27</v>
      </c>
      <c r="G48" s="1">
        <v>2561.27</v>
      </c>
      <c r="H48" s="1">
        <v>2561.27</v>
      </c>
      <c r="I48" s="1">
        <v>2561.27</v>
      </c>
      <c r="J48" s="1">
        <v>2561.27</v>
      </c>
      <c r="K48" s="1">
        <v>2561.27</v>
      </c>
      <c r="L48" s="1">
        <v>2561.27</v>
      </c>
      <c r="M48" s="1">
        <v>2561.27</v>
      </c>
      <c r="N48" s="1">
        <v>2561.27</v>
      </c>
      <c r="O48" s="1">
        <v>2561.27</v>
      </c>
      <c r="P48" s="1">
        <v>2561.27</v>
      </c>
      <c r="Q48" s="1">
        <v>2561.27</v>
      </c>
      <c r="R48" s="1">
        <v>2561.27</v>
      </c>
      <c r="S48" s="1">
        <v>2561.27</v>
      </c>
      <c r="T48" s="1">
        <v>2561.27</v>
      </c>
      <c r="U48" s="1">
        <v>2561.27</v>
      </c>
      <c r="V48" s="1">
        <v>2561.27</v>
      </c>
      <c r="W48" s="1">
        <v>2561.27</v>
      </c>
      <c r="X48" s="1">
        <v>2561.27</v>
      </c>
      <c r="Y48" s="1">
        <v>2561.27</v>
      </c>
      <c r="Z48" s="1">
        <v>2546.1999999999998</v>
      </c>
      <c r="AA48" s="1">
        <v>2546.6999999999998</v>
      </c>
      <c r="AB48" s="1">
        <v>2549.1</v>
      </c>
      <c r="AC48" s="1">
        <v>2558.9</v>
      </c>
      <c r="AD48" s="1">
        <v>2558.96</v>
      </c>
      <c r="AE48" s="1">
        <v>2559.16</v>
      </c>
      <c r="AF48" s="1">
        <v>2559.15</v>
      </c>
      <c r="AG48" s="1">
        <v>2559.4</v>
      </c>
      <c r="AH48" s="1">
        <v>2559.4</v>
      </c>
      <c r="AI48" s="1">
        <v>2562.8000000000002</v>
      </c>
      <c r="AJ48" s="1">
        <v>2563.1</v>
      </c>
      <c r="AK48" s="1">
        <v>2563.1</v>
      </c>
      <c r="AL48" s="1">
        <v>2563.1</v>
      </c>
      <c r="AM48" s="1">
        <v>2563.9</v>
      </c>
      <c r="AN48" s="1">
        <v>2563.9</v>
      </c>
      <c r="AO48" s="1"/>
    </row>
    <row r="49" spans="1:79" ht="16" x14ac:dyDescent="0.2">
      <c r="A49" s="2" t="s">
        <v>44</v>
      </c>
      <c r="B49" s="2" t="s">
        <v>88</v>
      </c>
      <c r="C49" s="2" t="s">
        <v>49</v>
      </c>
      <c r="D49" s="2" t="s">
        <v>89</v>
      </c>
      <c r="E49" s="1">
        <v>180.11</v>
      </c>
      <c r="F49" s="1">
        <v>180.11</v>
      </c>
      <c r="G49" s="1">
        <v>180.11</v>
      </c>
      <c r="H49" s="1">
        <v>180.11</v>
      </c>
      <c r="I49" s="1">
        <v>180.11</v>
      </c>
      <c r="J49" s="1">
        <v>180.11</v>
      </c>
      <c r="K49" s="1">
        <v>180.11</v>
      </c>
      <c r="L49" s="1">
        <v>180.11</v>
      </c>
      <c r="M49" s="1">
        <v>180.11</v>
      </c>
      <c r="N49" s="1">
        <v>180.11</v>
      </c>
      <c r="O49" s="1">
        <v>180.11</v>
      </c>
      <c r="P49" s="1">
        <v>180.11</v>
      </c>
      <c r="Q49" s="1">
        <v>180.11</v>
      </c>
      <c r="R49" s="1">
        <v>180.11</v>
      </c>
      <c r="S49" s="1">
        <v>180.11</v>
      </c>
      <c r="T49" s="1">
        <v>180.11</v>
      </c>
      <c r="U49" s="1">
        <v>180.11</v>
      </c>
      <c r="V49" s="1">
        <v>180.11</v>
      </c>
      <c r="W49" s="1">
        <v>180.11</v>
      </c>
      <c r="X49" s="1">
        <v>180.11</v>
      </c>
      <c r="Y49" s="1">
        <v>180.11</v>
      </c>
      <c r="Z49" s="1">
        <v>167</v>
      </c>
      <c r="AA49" s="1">
        <v>167.2</v>
      </c>
      <c r="AB49" s="1">
        <v>169.6</v>
      </c>
      <c r="AC49" s="1">
        <v>179.3</v>
      </c>
      <c r="AD49" s="1">
        <v>179.29000000000002</v>
      </c>
      <c r="AE49" s="1">
        <v>179.47000000000003</v>
      </c>
      <c r="AF49" s="1">
        <v>179.45999999999998</v>
      </c>
      <c r="AG49" s="1">
        <v>179.7</v>
      </c>
      <c r="AH49" s="1">
        <v>179.8</v>
      </c>
      <c r="AI49" s="1">
        <v>183.2</v>
      </c>
      <c r="AJ49" s="1">
        <v>183.2</v>
      </c>
      <c r="AK49" s="1">
        <v>183.2</v>
      </c>
      <c r="AL49" s="1">
        <v>183.2</v>
      </c>
      <c r="AM49" s="1">
        <v>184</v>
      </c>
      <c r="AN49" s="1">
        <v>184</v>
      </c>
      <c r="AO49" s="1"/>
    </row>
    <row r="50" spans="1:79" ht="16" x14ac:dyDescent="0.2">
      <c r="A50" s="6" t="s">
        <v>47</v>
      </c>
      <c r="B50" s="2" t="s">
        <v>88</v>
      </c>
      <c r="C50" s="2" t="s">
        <v>50</v>
      </c>
      <c r="D50" s="2" t="s">
        <v>89</v>
      </c>
      <c r="E50" s="1">
        <f>E47-E48</f>
        <v>40537.040000000001</v>
      </c>
      <c r="F50" s="1">
        <f t="shared" ref="F50:U50" si="16">F47-F48</f>
        <v>40537.040000000001</v>
      </c>
      <c r="G50" s="1">
        <f t="shared" si="16"/>
        <v>40537.040000000001</v>
      </c>
      <c r="H50" s="1">
        <f t="shared" si="16"/>
        <v>40537.040000000001</v>
      </c>
      <c r="I50" s="1">
        <f t="shared" si="16"/>
        <v>40537.040000000001</v>
      </c>
      <c r="J50" s="1">
        <f t="shared" si="16"/>
        <v>40537.040000000001</v>
      </c>
      <c r="K50" s="1">
        <f t="shared" si="16"/>
        <v>40537.040000000001</v>
      </c>
      <c r="L50" s="1">
        <f t="shared" si="16"/>
        <v>40537.040000000001</v>
      </c>
      <c r="M50" s="1">
        <f t="shared" si="16"/>
        <v>40537.040000000001</v>
      </c>
      <c r="N50" s="1">
        <f t="shared" si="16"/>
        <v>40537.040000000001</v>
      </c>
      <c r="O50" s="1">
        <f t="shared" si="16"/>
        <v>40537.040000000001</v>
      </c>
      <c r="P50" s="1">
        <f t="shared" si="16"/>
        <v>40537.040000000001</v>
      </c>
      <c r="Q50" s="1">
        <f t="shared" si="16"/>
        <v>40537.040000000001</v>
      </c>
      <c r="R50" s="1">
        <f t="shared" si="16"/>
        <v>40537.040000000001</v>
      </c>
      <c r="S50" s="1">
        <f t="shared" si="16"/>
        <v>40537.040000000001</v>
      </c>
      <c r="T50" s="1">
        <f t="shared" si="16"/>
        <v>40537.040000000001</v>
      </c>
      <c r="U50" s="1">
        <f t="shared" si="16"/>
        <v>40537.040000000001</v>
      </c>
      <c r="V50" s="1">
        <f>V47-V48</f>
        <v>40537.040000000001</v>
      </c>
      <c r="W50" s="1">
        <f t="shared" ref="W50:AN50" si="17">W47-W48</f>
        <v>40537.040000000001</v>
      </c>
      <c r="X50" s="1">
        <f t="shared" si="17"/>
        <v>40537.040000000001</v>
      </c>
      <c r="Y50" s="1">
        <f t="shared" si="17"/>
        <v>40537.040000000001</v>
      </c>
      <c r="Z50" s="1">
        <f t="shared" si="17"/>
        <v>40344.400000000001</v>
      </c>
      <c r="AA50" s="1">
        <f t="shared" si="17"/>
        <v>40345.700000000004</v>
      </c>
      <c r="AB50" s="1">
        <f t="shared" si="17"/>
        <v>40366.6</v>
      </c>
      <c r="AC50" s="1">
        <f t="shared" si="17"/>
        <v>40362.699999999997</v>
      </c>
      <c r="AD50" s="1">
        <f t="shared" si="17"/>
        <v>40364.57</v>
      </c>
      <c r="AE50" s="1">
        <f t="shared" si="17"/>
        <v>40366.300000000003</v>
      </c>
      <c r="AF50" s="1">
        <f t="shared" si="17"/>
        <v>40371.85</v>
      </c>
      <c r="AG50" s="1">
        <f t="shared" si="17"/>
        <v>40374.699999999997</v>
      </c>
      <c r="AH50" s="1">
        <f t="shared" si="17"/>
        <v>40378.400000000001</v>
      </c>
      <c r="AI50" s="1">
        <f t="shared" si="17"/>
        <v>40381.1</v>
      </c>
      <c r="AJ50" s="1">
        <f t="shared" si="17"/>
        <v>40383.9</v>
      </c>
      <c r="AK50" s="1">
        <f t="shared" si="17"/>
        <v>40388</v>
      </c>
      <c r="AL50" s="1">
        <f t="shared" si="17"/>
        <v>40388.9</v>
      </c>
      <c r="AM50" s="1">
        <f t="shared" si="17"/>
        <v>40390.299999999996</v>
      </c>
      <c r="AN50" s="1">
        <f t="shared" si="17"/>
        <v>40391.699999999997</v>
      </c>
      <c r="AO50" s="1"/>
    </row>
    <row r="51" spans="1:79" ht="18" customHeight="1" x14ac:dyDescent="0.2">
      <c r="A51" s="6" t="s">
        <v>48</v>
      </c>
      <c r="B51" s="2" t="s">
        <v>88</v>
      </c>
      <c r="C51" s="2" t="s">
        <v>50</v>
      </c>
      <c r="D51" s="2" t="s">
        <v>89</v>
      </c>
      <c r="E51" s="1">
        <f>E47-E49</f>
        <v>42918.2</v>
      </c>
      <c r="F51" s="1">
        <f t="shared" ref="F51:U51" si="18">F47-F49</f>
        <v>42918.2</v>
      </c>
      <c r="G51" s="1">
        <f t="shared" si="18"/>
        <v>42918.2</v>
      </c>
      <c r="H51" s="1">
        <f t="shared" si="18"/>
        <v>42918.2</v>
      </c>
      <c r="I51" s="1">
        <f t="shared" si="18"/>
        <v>42918.2</v>
      </c>
      <c r="J51" s="1">
        <f t="shared" si="18"/>
        <v>42918.2</v>
      </c>
      <c r="K51" s="1">
        <f t="shared" si="18"/>
        <v>42918.2</v>
      </c>
      <c r="L51" s="1">
        <f t="shared" si="18"/>
        <v>42918.2</v>
      </c>
      <c r="M51" s="1">
        <f t="shared" si="18"/>
        <v>42918.2</v>
      </c>
      <c r="N51" s="1">
        <f t="shared" si="18"/>
        <v>42918.2</v>
      </c>
      <c r="O51" s="1">
        <f t="shared" si="18"/>
        <v>42918.2</v>
      </c>
      <c r="P51" s="1">
        <f t="shared" si="18"/>
        <v>42918.2</v>
      </c>
      <c r="Q51" s="1">
        <f t="shared" si="18"/>
        <v>42918.2</v>
      </c>
      <c r="R51" s="1">
        <f t="shared" si="18"/>
        <v>42918.2</v>
      </c>
      <c r="S51" s="1">
        <f t="shared" si="18"/>
        <v>42918.2</v>
      </c>
      <c r="T51" s="1">
        <f t="shared" si="18"/>
        <v>42918.2</v>
      </c>
      <c r="U51" s="1">
        <f t="shared" si="18"/>
        <v>42918.2</v>
      </c>
      <c r="V51" s="1">
        <f>V47-V49</f>
        <v>42918.2</v>
      </c>
      <c r="W51" s="1">
        <f t="shared" ref="W51:AN51" si="19">W47-W49</f>
        <v>42918.2</v>
      </c>
      <c r="X51" s="1">
        <f t="shared" si="19"/>
        <v>42918.2</v>
      </c>
      <c r="Y51" s="1">
        <f t="shared" si="19"/>
        <v>42918.2</v>
      </c>
      <c r="Z51" s="1">
        <f t="shared" si="19"/>
        <v>42723.6</v>
      </c>
      <c r="AA51" s="1">
        <f t="shared" si="19"/>
        <v>42725.200000000004</v>
      </c>
      <c r="AB51" s="1">
        <f t="shared" si="19"/>
        <v>42746.1</v>
      </c>
      <c r="AC51" s="1">
        <f t="shared" si="19"/>
        <v>42742.299999999996</v>
      </c>
      <c r="AD51" s="1">
        <f t="shared" si="19"/>
        <v>42744.24</v>
      </c>
      <c r="AE51" s="1">
        <f t="shared" si="19"/>
        <v>42745.99</v>
      </c>
      <c r="AF51" s="1">
        <f t="shared" si="19"/>
        <v>42751.54</v>
      </c>
      <c r="AG51" s="1">
        <f t="shared" si="19"/>
        <v>42754.400000000001</v>
      </c>
      <c r="AH51" s="1">
        <f t="shared" si="19"/>
        <v>42758</v>
      </c>
      <c r="AI51" s="1">
        <f t="shared" si="19"/>
        <v>42760.700000000004</v>
      </c>
      <c r="AJ51" s="1">
        <f t="shared" si="19"/>
        <v>42763.8</v>
      </c>
      <c r="AK51" s="1">
        <f t="shared" si="19"/>
        <v>42767.9</v>
      </c>
      <c r="AL51" s="1">
        <f t="shared" si="19"/>
        <v>42768.800000000003</v>
      </c>
      <c r="AM51" s="1">
        <f t="shared" si="19"/>
        <v>42770.2</v>
      </c>
      <c r="AN51" s="1">
        <f t="shared" si="19"/>
        <v>42771.6</v>
      </c>
      <c r="AO51" s="1"/>
    </row>
    <row r="52" spans="1:79" ht="18" customHeight="1" x14ac:dyDescent="0.2">
      <c r="A52" s="6" t="s">
        <v>96</v>
      </c>
      <c r="B52" s="2" t="s">
        <v>53</v>
      </c>
      <c r="E52" s="14">
        <v>7.886785580820975</v>
      </c>
      <c r="F52" s="14">
        <v>7.1117855808209747</v>
      </c>
      <c r="G52" s="14">
        <v>7.4617855808209743</v>
      </c>
      <c r="H52" s="14">
        <v>6.4867855808209729</v>
      </c>
      <c r="I52" s="14">
        <v>3.7867855808209732</v>
      </c>
      <c r="J52" s="14">
        <v>4.1117855808209729</v>
      </c>
      <c r="K52" s="14">
        <v>2.7867855808209736</v>
      </c>
      <c r="L52" s="14">
        <v>2.6117855808209733</v>
      </c>
      <c r="M52" s="14">
        <v>3.0367855808209732</v>
      </c>
      <c r="N52" s="14">
        <v>2.3867855808209733</v>
      </c>
      <c r="O52" s="14">
        <v>3.1117855808209733</v>
      </c>
      <c r="P52" s="14">
        <v>3.2617855808209737</v>
      </c>
      <c r="Q52" s="14">
        <v>2.5117855808209733</v>
      </c>
      <c r="R52" s="14">
        <v>1.5188461828842812</v>
      </c>
      <c r="S52" s="14">
        <v>1.3218714085081589</v>
      </c>
      <c r="T52" s="14">
        <v>1.4191760502442778</v>
      </c>
      <c r="U52" s="14">
        <v>2.0697899121746053</v>
      </c>
      <c r="V52" s="14">
        <v>3.2430285209692267</v>
      </c>
      <c r="W52" s="14">
        <v>3.7548656195741201</v>
      </c>
      <c r="X52" s="14">
        <v>1.9775439911835404</v>
      </c>
      <c r="Y52" s="14">
        <v>1.0284109949137763</v>
      </c>
      <c r="Z52" s="14">
        <v>1.1007402060514784</v>
      </c>
      <c r="AA52" s="14">
        <v>0.94824020605147841</v>
      </c>
      <c r="AB52" s="14">
        <v>0.84074020605147837</v>
      </c>
      <c r="AC52" s="14">
        <v>0.7606029004338789</v>
      </c>
      <c r="AD52" s="14">
        <v>0.45106273884358677</v>
      </c>
      <c r="AE52" s="14">
        <v>0.32652084797907477</v>
      </c>
      <c r="AF52" s="14">
        <v>0.22648543084397518</v>
      </c>
      <c r="AG52" s="14">
        <v>0.15340591534049589</v>
      </c>
      <c r="AH52" s="14">
        <v>9.3399827875954106E-2</v>
      </c>
      <c r="AI52" s="14">
        <v>-5.6130589210875992E-2</v>
      </c>
      <c r="AJ52" s="14">
        <v>-0.24512858293811451</v>
      </c>
      <c r="AK52" s="14">
        <v>-0.12825642479878013</v>
      </c>
      <c r="AL52" s="14">
        <v>1.016120315064442</v>
      </c>
      <c r="AM52" s="1"/>
      <c r="AN52" s="1"/>
      <c r="AO52" s="1"/>
    </row>
    <row r="53" spans="1:79" ht="18" customHeight="1" x14ac:dyDescent="0.2">
      <c r="A53" s="2" t="s">
        <v>97</v>
      </c>
      <c r="B53" s="2" t="s">
        <v>53</v>
      </c>
      <c r="E53">
        <v>177.44166666666666</v>
      </c>
      <c r="F53">
        <v>181.69166666666666</v>
      </c>
      <c r="G53">
        <v>185.5</v>
      </c>
      <c r="H53">
        <v>187.83333333333334</v>
      </c>
      <c r="I53">
        <v>191.57499999999999</v>
      </c>
      <c r="J53">
        <v>195.56666666666669</v>
      </c>
      <c r="K53">
        <v>199.72499999999999</v>
      </c>
      <c r="L53">
        <v>204.08333333333334</v>
      </c>
      <c r="M53">
        <v>207.85</v>
      </c>
      <c r="N53">
        <v>213.04166666666666</v>
      </c>
      <c r="O53">
        <v>219.26000000000002</v>
      </c>
      <c r="P53">
        <v>224.38604518920741</v>
      </c>
      <c r="Q53">
        <v>229.82614262143531</v>
      </c>
      <c r="R53">
        <v>234.59521481973209</v>
      </c>
      <c r="S53">
        <v>237.30328094238294</v>
      </c>
      <c r="T53">
        <v>241.61701458908345</v>
      </c>
      <c r="U53">
        <v>246.26626085274967</v>
      </c>
      <c r="V53">
        <v>250.43620337789361</v>
      </c>
      <c r="W53">
        <v>258.99177511051641</v>
      </c>
      <c r="X53">
        <v>262.37086646709866</v>
      </c>
      <c r="Y53">
        <v>268.4340587594055</v>
      </c>
      <c r="Z53">
        <v>275.83930151957452</v>
      </c>
      <c r="AA53">
        <v>282.45369311118208</v>
      </c>
      <c r="AB53">
        <v>284.68245549531082</v>
      </c>
      <c r="AC53">
        <v>286.28812301936057</v>
      </c>
      <c r="AD53">
        <v>287.58224311337074</v>
      </c>
      <c r="AE53">
        <v>288.30119872115426</v>
      </c>
      <c r="AF53">
        <v>291.60839451695796</v>
      </c>
      <c r="AG53">
        <v>293.9809480226433</v>
      </c>
      <c r="AH53">
        <v>296.20971040677182</v>
      </c>
      <c r="AI53">
        <v>297.45590012692969</v>
      </c>
      <c r="AJ53">
        <v>302.96789311993598</v>
      </c>
      <c r="AK53">
        <v>326.28601999904515</v>
      </c>
      <c r="AL53">
        <v>337.07035411579648</v>
      </c>
      <c r="AM53" s="1"/>
      <c r="AN53" s="1"/>
      <c r="AO53" s="1"/>
    </row>
    <row r="54" spans="1:79" ht="18" customHeight="1" x14ac:dyDescent="0.2">
      <c r="A54" s="2" t="s">
        <v>98</v>
      </c>
      <c r="B54" s="2" t="s">
        <v>53</v>
      </c>
      <c r="D54" s="2" t="s">
        <v>99</v>
      </c>
      <c r="E54">
        <v>59.732289941305382</v>
      </c>
      <c r="F54">
        <v>61.957177937112213</v>
      </c>
      <c r="G54">
        <v>63.833413263452307</v>
      </c>
      <c r="H54">
        <v>65.494270999196502</v>
      </c>
      <c r="I54">
        <v>67.471660512635168</v>
      </c>
      <c r="J54">
        <v>70.081099841994529</v>
      </c>
      <c r="K54">
        <v>72.93434406598557</v>
      </c>
      <c r="L54">
        <v>75.843730205263725</v>
      </c>
      <c r="M54">
        <v>78.514928579268073</v>
      </c>
      <c r="N54">
        <v>81.725290102914983</v>
      </c>
      <c r="O54">
        <v>84.64585749544861</v>
      </c>
      <c r="P54">
        <v>87.478045167139442</v>
      </c>
      <c r="Q54">
        <v>91.017696575030996</v>
      </c>
      <c r="R54">
        <v>94.398483721865205</v>
      </c>
      <c r="S54">
        <v>97.358931225782285</v>
      </c>
      <c r="T54">
        <v>100</v>
      </c>
      <c r="U54">
        <v>103.10786575928736</v>
      </c>
      <c r="V54">
        <v>107.20748448075443</v>
      </c>
      <c r="W54">
        <v>111.73093272050349</v>
      </c>
      <c r="X54">
        <v>114.95504606496092</v>
      </c>
      <c r="Y54">
        <v>117.87804830464688</v>
      </c>
      <c r="Z54">
        <v>120.53085705999214</v>
      </c>
      <c r="AA54">
        <v>122.69240493471787</v>
      </c>
      <c r="AB54">
        <v>124.65744845719584</v>
      </c>
      <c r="AC54">
        <v>126.37686153936406</v>
      </c>
      <c r="AD54">
        <v>128.63666159021372</v>
      </c>
      <c r="AE54">
        <v>131.48597469780674</v>
      </c>
      <c r="AF54">
        <v>134.28616171733788</v>
      </c>
      <c r="AG54">
        <v>137.38110526524065</v>
      </c>
      <c r="AH54">
        <v>140.57430098926736</v>
      </c>
      <c r="AI54">
        <v>143.54642931701528</v>
      </c>
      <c r="AJ54">
        <v>147.30457505375441</v>
      </c>
      <c r="AK54">
        <v>150.98903165840059</v>
      </c>
      <c r="AL54">
        <v>156.73678396164865</v>
      </c>
      <c r="AM54" s="1"/>
      <c r="AN54" s="1"/>
      <c r="AO54" s="1"/>
    </row>
    <row r="55" spans="1:79" ht="17" customHeight="1" x14ac:dyDescent="0.2">
      <c r="E55" s="7"/>
      <c r="F55" s="7"/>
      <c r="G55" s="7">
        <f>G48/G50</f>
        <v>6.3183449013544155E-2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</row>
    <row r="56" spans="1:79" ht="18" customHeight="1" x14ac:dyDescent="0.15">
      <c r="A56" s="15" t="s">
        <v>102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spans="1:79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spans="1:79" x14ac:dyDescent="0.15">
      <c r="E58" s="4">
        <v>1990</v>
      </c>
      <c r="F58" s="4">
        <f>1+E58</f>
        <v>1991</v>
      </c>
      <c r="G58" s="4">
        <f t="shared" ref="G58:R58" si="20">1+F58</f>
        <v>1992</v>
      </c>
      <c r="H58" s="4">
        <f t="shared" si="20"/>
        <v>1993</v>
      </c>
      <c r="I58" s="4">
        <f t="shared" si="20"/>
        <v>1994</v>
      </c>
      <c r="J58" s="4">
        <f t="shared" si="20"/>
        <v>1995</v>
      </c>
      <c r="K58" s="4">
        <f t="shared" si="20"/>
        <v>1996</v>
      </c>
      <c r="L58" s="4">
        <f t="shared" si="20"/>
        <v>1997</v>
      </c>
      <c r="M58" s="4">
        <f t="shared" si="20"/>
        <v>1998</v>
      </c>
      <c r="N58" s="4">
        <f t="shared" si="20"/>
        <v>1999</v>
      </c>
      <c r="O58" s="4">
        <f t="shared" si="20"/>
        <v>2000</v>
      </c>
      <c r="P58" s="4">
        <f t="shared" si="20"/>
        <v>2001</v>
      </c>
      <c r="Q58" s="4">
        <f t="shared" si="20"/>
        <v>2002</v>
      </c>
      <c r="R58" s="4">
        <f t="shared" si="20"/>
        <v>2003</v>
      </c>
      <c r="S58" s="4" t="s">
        <v>0</v>
      </c>
      <c r="T58" s="4" t="s">
        <v>1</v>
      </c>
      <c r="U58" s="4" t="s">
        <v>2</v>
      </c>
      <c r="V58" s="4" t="s">
        <v>3</v>
      </c>
      <c r="W58" s="4" t="s">
        <v>4</v>
      </c>
      <c r="X58" s="4" t="s">
        <v>5</v>
      </c>
      <c r="Y58" s="4" t="s">
        <v>6</v>
      </c>
      <c r="Z58" s="4" t="s">
        <v>7</v>
      </c>
      <c r="AA58" s="4" t="s">
        <v>8</v>
      </c>
      <c r="AB58" s="4" t="s">
        <v>9</v>
      </c>
      <c r="AC58" s="4" t="s">
        <v>10</v>
      </c>
      <c r="AD58" s="4" t="s">
        <v>11</v>
      </c>
      <c r="AE58" s="4" t="s">
        <v>12</v>
      </c>
      <c r="AF58" s="4" t="s">
        <v>13</v>
      </c>
      <c r="AG58" s="4" t="s">
        <v>14</v>
      </c>
      <c r="AH58" s="4" t="s">
        <v>15</v>
      </c>
      <c r="AI58" s="4" t="s">
        <v>16</v>
      </c>
      <c r="AJ58" s="4" t="s">
        <v>17</v>
      </c>
      <c r="AK58" s="4" t="s">
        <v>18</v>
      </c>
      <c r="AL58" s="4" t="s">
        <v>19</v>
      </c>
      <c r="AM58" s="4" t="s">
        <v>20</v>
      </c>
      <c r="AN58" s="4">
        <v>2025</v>
      </c>
      <c r="AU58" s="2">
        <v>436981.64782535844</v>
      </c>
      <c r="AV58" s="2">
        <v>441191.52464887151</v>
      </c>
      <c r="AW58" s="2">
        <v>475064.25639675616</v>
      </c>
      <c r="AX58" s="2">
        <v>510114.70098021108</v>
      </c>
      <c r="AY58" s="2">
        <v>561687.46135873557</v>
      </c>
      <c r="AZ58" s="2">
        <v>645263.04248401069</v>
      </c>
      <c r="BA58" s="2">
        <v>723450.91979831434</v>
      </c>
      <c r="BB58" s="2">
        <v>804043.44936381211</v>
      </c>
      <c r="BC58" s="2">
        <v>867796.85748698108</v>
      </c>
      <c r="BD58" s="2">
        <v>947650.30119274312</v>
      </c>
      <c r="BE58" s="2">
        <v>1015398.0848943234</v>
      </c>
      <c r="BF58" s="2">
        <v>1064381.4581179435</v>
      </c>
      <c r="BG58" s="2">
        <v>1195054.5772247058</v>
      </c>
      <c r="BH58" s="2">
        <v>1513571.7380302502</v>
      </c>
      <c r="BI58" s="2">
        <v>1930429.8037818959</v>
      </c>
      <c r="BJ58" s="2">
        <v>1904645.1506228074</v>
      </c>
      <c r="BK58" s="2">
        <v>1714339.4892109104</v>
      </c>
      <c r="BL58" s="2">
        <v>1460021.5217601664</v>
      </c>
      <c r="BM58" s="2">
        <v>1603492.8705077765</v>
      </c>
      <c r="BN58" s="2">
        <v>1567282.2139999999</v>
      </c>
      <c r="BO58" s="2">
        <v>1495456.3217499999</v>
      </c>
      <c r="BP58" s="2">
        <v>1563083.19625</v>
      </c>
      <c r="BQ58" s="2">
        <v>1648957.8160000001</v>
      </c>
      <c r="BR58" s="2">
        <v>1808334.28125</v>
      </c>
      <c r="BS58" s="2">
        <v>1924392.6325000001</v>
      </c>
      <c r="BT58" s="2">
        <v>2058158.23875</v>
      </c>
      <c r="BU58" s="2">
        <v>2184408.8429999999</v>
      </c>
      <c r="BV58" s="2">
        <v>2279098.6625000001</v>
      </c>
      <c r="BW58" s="2">
        <v>2448132.54</v>
      </c>
      <c r="BX58" s="2">
        <v>2923552.1974999998</v>
      </c>
      <c r="BY58" s="2">
        <v>3012348.4575</v>
      </c>
      <c r="BZ58" s="2">
        <v>2916519.7742499998</v>
      </c>
      <c r="CA58" s="2">
        <v>3153460.5212500002</v>
      </c>
    </row>
    <row r="59" spans="1:79" x14ac:dyDescent="0.15">
      <c r="D59" s="2" t="s">
        <v>73</v>
      </c>
      <c r="E59" s="2">
        <f t="shared" ref="E59:AM59" si="21">$S$8*(E9/$S$9)*1000</f>
        <v>1107758.8983913665</v>
      </c>
      <c r="F59" s="2">
        <f t="shared" si="21"/>
        <v>1123898.024842191</v>
      </c>
      <c r="G59" s="2">
        <f t="shared" si="21"/>
        <v>1146646.5078395437</v>
      </c>
      <c r="H59" s="2">
        <f t="shared" si="21"/>
        <v>1145724.2720423539</v>
      </c>
      <c r="I59" s="2">
        <f t="shared" si="21"/>
        <v>1206361.2757075953</v>
      </c>
      <c r="J59" s="2">
        <f t="shared" si="21"/>
        <v>1243020.1486458972</v>
      </c>
      <c r="K59" s="2">
        <f t="shared" si="21"/>
        <v>1279064.1977194052</v>
      </c>
      <c r="L59" s="2">
        <f t="shared" si="21"/>
        <v>1319565.7198126656</v>
      </c>
      <c r="M59" s="2">
        <f t="shared" si="21"/>
        <v>1350230.0600692325</v>
      </c>
      <c r="N59" s="2">
        <f t="shared" si="21"/>
        <v>1390347.3172469966</v>
      </c>
      <c r="O59" s="2">
        <f t="shared" si="21"/>
        <v>1442069.3748727348</v>
      </c>
      <c r="P59" s="2">
        <f t="shared" si="21"/>
        <v>1455826.0588474853</v>
      </c>
      <c r="Q59" s="2">
        <f t="shared" si="21"/>
        <v>1462435.4153940135</v>
      </c>
      <c r="R59" s="2">
        <f t="shared" si="21"/>
        <v>1468891.0659743433</v>
      </c>
      <c r="S59" s="2">
        <f t="shared" si="21"/>
        <v>1509700</v>
      </c>
      <c r="T59" s="2">
        <f t="shared" si="21"/>
        <v>1545282.9311749132</v>
      </c>
      <c r="U59" s="2">
        <f t="shared" si="21"/>
        <v>1604306.0221950724</v>
      </c>
      <c r="V59" s="2">
        <f t="shared" si="21"/>
        <v>1620137.7367135</v>
      </c>
      <c r="W59" s="2">
        <f t="shared" si="21"/>
        <v>1613374.6742007739</v>
      </c>
      <c r="X59" s="2">
        <f t="shared" si="21"/>
        <v>1533063.3068621461</v>
      </c>
      <c r="Y59" s="2">
        <f t="shared" si="21"/>
        <v>1557348.8495214824</v>
      </c>
      <c r="Z59" s="2">
        <f t="shared" si="21"/>
        <v>1577791.7430258603</v>
      </c>
      <c r="AA59" s="2">
        <f t="shared" si="21"/>
        <v>1577714.8900427611</v>
      </c>
      <c r="AB59" s="2">
        <f t="shared" si="21"/>
        <v>1599694.8432091223</v>
      </c>
      <c r="AC59" s="2">
        <f t="shared" si="21"/>
        <v>1620137.7367135</v>
      </c>
      <c r="AD59" s="2">
        <f t="shared" si="21"/>
        <v>1654183.6082264306</v>
      </c>
      <c r="AE59" s="2">
        <f t="shared" si="21"/>
        <v>1705060.2830380779</v>
      </c>
      <c r="AF59" s="2">
        <f t="shared" si="21"/>
        <v>1757166.605579312</v>
      </c>
      <c r="AG59" s="2">
        <f t="shared" si="21"/>
        <v>1789829.1233964572</v>
      </c>
      <c r="AH59" s="2">
        <f t="shared" si="21"/>
        <v>1820493.4636530238</v>
      </c>
      <c r="AI59" s="2">
        <f t="shared" si="21"/>
        <v>1788061.5047851761</v>
      </c>
      <c r="AJ59" s="2">
        <f t="shared" si="21"/>
        <v>1904263.2152311138</v>
      </c>
      <c r="AK59" s="2">
        <f t="shared" si="21"/>
        <v>1912717.043372022</v>
      </c>
      <c r="AL59" s="2">
        <f t="shared" si="21"/>
        <v>1924321.8438199959</v>
      </c>
      <c r="AM59" s="2">
        <f t="shared" si="21"/>
        <v>1991260.7920993688</v>
      </c>
      <c r="AU59" s="2">
        <v>698582.21692208061</v>
      </c>
      <c r="AV59" s="2">
        <v>722998.05410798406</v>
      </c>
      <c r="AW59" s="2">
        <v>772915.2304212217</v>
      </c>
      <c r="AX59" s="2">
        <v>819778.60281454632</v>
      </c>
      <c r="AY59" s="2">
        <v>921949.55830016744</v>
      </c>
      <c r="AZ59" s="2">
        <v>1027912.8743670101</v>
      </c>
      <c r="BA59" s="2">
        <v>1127871.4610272185</v>
      </c>
      <c r="BB59" s="2">
        <v>1228970.23376022</v>
      </c>
      <c r="BC59" s="2">
        <v>1302958.212687985</v>
      </c>
      <c r="BD59" s="2">
        <v>1372946.8328963006</v>
      </c>
      <c r="BE59" s="2">
        <v>1429540.0201757243</v>
      </c>
      <c r="BF59" s="2">
        <v>1497301.1210204887</v>
      </c>
      <c r="BG59" s="2">
        <v>1635131.1885605138</v>
      </c>
      <c r="BH59" s="2">
        <v>1892565.5550846099</v>
      </c>
      <c r="BI59" s="2">
        <v>2320822.3372367606</v>
      </c>
      <c r="BJ59" s="2">
        <v>2510761.9965182939</v>
      </c>
      <c r="BK59" s="2">
        <v>2496049.9096047529</v>
      </c>
      <c r="BL59" s="2">
        <v>2290053.7875687401</v>
      </c>
      <c r="BM59" s="2">
        <v>2326087.4847582821</v>
      </c>
      <c r="BN59" s="2">
        <v>2246415.8680357141</v>
      </c>
      <c r="BO59" s="2">
        <v>2162733.8049999997</v>
      </c>
      <c r="BP59" s="2">
        <v>2176115.0914285714</v>
      </c>
      <c r="BQ59" s="2">
        <v>2199288.1452857144</v>
      </c>
      <c r="BR59" s="2">
        <v>2337852.3105000001</v>
      </c>
      <c r="BS59" s="2">
        <v>2425266.48</v>
      </c>
      <c r="BT59" s="2">
        <v>2538242.3605</v>
      </c>
      <c r="BU59" s="2">
        <v>2670500.2363571427</v>
      </c>
      <c r="BV59" s="2">
        <v>2769931.5803571427</v>
      </c>
      <c r="BW59" s="2">
        <v>2894898.2282142858</v>
      </c>
      <c r="BX59" s="2">
        <v>3197537.6095714285</v>
      </c>
      <c r="BY59" s="2">
        <v>3263184.0959999999</v>
      </c>
      <c r="BZ59" s="2">
        <v>3223569.3069285713</v>
      </c>
      <c r="CA59" s="2">
        <v>3387322.9275000002</v>
      </c>
    </row>
    <row r="60" spans="1:79" ht="17" customHeight="1" x14ac:dyDescent="0.15">
      <c r="D60" s="2" t="s">
        <v>74</v>
      </c>
      <c r="E60" s="2">
        <f t="shared" ref="E60:AM60" si="22">$E$10*(E12/$E$12)</f>
        <v>2707642</v>
      </c>
      <c r="F60" s="2">
        <f t="shared" si="22"/>
        <v>2746376.1829354055</v>
      </c>
      <c r="G60" s="2">
        <f t="shared" si="22"/>
        <v>2774492.6392337605</v>
      </c>
      <c r="H60" s="2">
        <f t="shared" si="22"/>
        <v>2794586.9584732126</v>
      </c>
      <c r="I60" s="2">
        <f t="shared" si="22"/>
        <v>2804441.2468270566</v>
      </c>
      <c r="J60" s="2">
        <f t="shared" si="22"/>
        <v>2819717.5563477259</v>
      </c>
      <c r="K60" s="2">
        <f t="shared" si="22"/>
        <v>2845981.2414765623</v>
      </c>
      <c r="L60" s="2">
        <f t="shared" si="22"/>
        <v>2875860.9485133369</v>
      </c>
      <c r="M60" s="2">
        <f t="shared" si="22"/>
        <v>2915438.5346114142</v>
      </c>
      <c r="N60" s="2">
        <f t="shared" si="22"/>
        <v>2961882.5389444116</v>
      </c>
      <c r="O60" s="2">
        <f t="shared" si="22"/>
        <v>2998325.4011826585</v>
      </c>
      <c r="P60" s="2">
        <f t="shared" si="22"/>
        <v>3050250.7716873693</v>
      </c>
      <c r="Q60" s="2">
        <f t="shared" si="22"/>
        <v>3095677.3612331958</v>
      </c>
      <c r="R60" s="2">
        <f t="shared" si="22"/>
        <v>3131426.6915922989</v>
      </c>
      <c r="S60" s="2">
        <f t="shared" si="22"/>
        <v>3164416.9821479321</v>
      </c>
      <c r="T60" s="2">
        <f t="shared" si="22"/>
        <v>3199417.4590131654</v>
      </c>
      <c r="U60" s="2">
        <f t="shared" si="22"/>
        <v>3243628.9847301217</v>
      </c>
      <c r="V60" s="2">
        <f t="shared" si="22"/>
        <v>3314879.2011058358</v>
      </c>
      <c r="W60" s="2">
        <f t="shared" si="22"/>
        <v>3382927.3018365088</v>
      </c>
      <c r="X60" s="2">
        <f t="shared" si="22"/>
        <v>3434254.6959784185</v>
      </c>
      <c r="Y60" s="2">
        <f t="shared" si="22"/>
        <v>3455434.8276377921</v>
      </c>
      <c r="Z60" s="2">
        <f t="shared" si="22"/>
        <v>3458795.3642704543</v>
      </c>
      <c r="AA60" s="2">
        <f t="shared" si="22"/>
        <v>3464199.2801815518</v>
      </c>
      <c r="AB60" s="2">
        <f t="shared" si="22"/>
        <v>3477753.0757891908</v>
      </c>
      <c r="AC60" s="2">
        <f t="shared" si="22"/>
        <v>3495220.6241767434</v>
      </c>
      <c r="AD60" s="2">
        <f t="shared" si="22"/>
        <v>3522819.0689917649</v>
      </c>
      <c r="AE60" s="2">
        <f t="shared" si="22"/>
        <v>3558669.9899524534</v>
      </c>
      <c r="AF60" s="2">
        <f t="shared" si="22"/>
        <v>3609131.3493620306</v>
      </c>
      <c r="AG60" s="2">
        <f t="shared" si="22"/>
        <v>3666384.1913647638</v>
      </c>
      <c r="AH60" s="2">
        <f t="shared" si="22"/>
        <v>3727501.4996179282</v>
      </c>
      <c r="AI60" s="2">
        <f t="shared" si="22"/>
        <v>3778093.619207764</v>
      </c>
      <c r="AJ60" s="2">
        <f t="shared" si="22"/>
        <v>3833711.4560334873</v>
      </c>
      <c r="AK60" s="2">
        <f t="shared" si="22"/>
        <v>3916142.1707451348</v>
      </c>
      <c r="AL60" s="2">
        <f t="shared" si="22"/>
        <v>4009622.120688688</v>
      </c>
      <c r="AM60" s="2">
        <f t="shared" si="22"/>
        <v>4080109.4017049661</v>
      </c>
    </row>
    <row r="61" spans="1:79" x14ac:dyDescent="0.15">
      <c r="D61" s="2" t="s">
        <v>80</v>
      </c>
      <c r="E61" s="2">
        <f>$E$35*(E36/$E$36)*1000</f>
        <v>177900</v>
      </c>
      <c r="F61" s="2">
        <f t="shared" ref="F61:AN61" si="23">$E$35*(F36/$E$36)*1000</f>
        <v>171054.97818326062</v>
      </c>
      <c r="G61" s="2">
        <f t="shared" si="23"/>
        <v>173595.39865132884</v>
      </c>
      <c r="H61" s="2">
        <f t="shared" si="23"/>
        <v>159905.35501785006</v>
      </c>
      <c r="I61" s="2">
        <f t="shared" si="23"/>
        <v>181498.92899642998</v>
      </c>
      <c r="J61" s="2">
        <f t="shared" si="23"/>
        <v>207961.64220547403</v>
      </c>
      <c r="K61" s="2">
        <f t="shared" si="23"/>
        <v>210149.22649742168</v>
      </c>
      <c r="L61" s="2">
        <f t="shared" si="23"/>
        <v>240210.86870289568</v>
      </c>
      <c r="M61" s="2">
        <f t="shared" si="23"/>
        <v>254536.01745339151</v>
      </c>
      <c r="N61" s="2">
        <f t="shared" si="23"/>
        <v>242257.31852439509</v>
      </c>
      <c r="O61" s="2">
        <f t="shared" si="23"/>
        <v>270625.34708449035</v>
      </c>
      <c r="P61" s="2">
        <f t="shared" si="23"/>
        <v>266532.44744149153</v>
      </c>
      <c r="Q61" s="2">
        <f t="shared" si="23"/>
        <v>263074.65291550971</v>
      </c>
      <c r="R61" s="2">
        <f t="shared" si="23"/>
        <v>262016.14438714797</v>
      </c>
      <c r="S61" s="2">
        <f t="shared" si="23"/>
        <v>279869.65489884972</v>
      </c>
      <c r="T61" s="2">
        <f t="shared" si="23"/>
        <v>295888.41729472438</v>
      </c>
      <c r="U61" s="2">
        <f t="shared" si="23"/>
        <v>333430.1864339548</v>
      </c>
      <c r="V61" s="2">
        <f t="shared" si="23"/>
        <v>342533.35977786593</v>
      </c>
      <c r="W61" s="2">
        <f t="shared" si="23"/>
        <v>327784.80761602544</v>
      </c>
      <c r="X61" s="2">
        <f t="shared" si="23"/>
        <v>256794.16898056326</v>
      </c>
      <c r="Y61" s="2">
        <f t="shared" si="23"/>
        <v>251783.89527965095</v>
      </c>
      <c r="Z61" s="2">
        <f t="shared" si="23"/>
        <v>267590.95596985321</v>
      </c>
      <c r="AA61" s="2">
        <f t="shared" si="23"/>
        <v>271542.72114240384</v>
      </c>
      <c r="AB61" s="2">
        <f t="shared" si="23"/>
        <v>280293.05831019441</v>
      </c>
      <c r="AC61" s="2">
        <f t="shared" si="23"/>
        <v>297511.4637048791</v>
      </c>
      <c r="AD61" s="2">
        <f t="shared" si="23"/>
        <v>309860.72986909962</v>
      </c>
      <c r="AE61" s="2">
        <f t="shared" si="23"/>
        <v>333571.32090440305</v>
      </c>
      <c r="AF61" s="2">
        <f t="shared" si="23"/>
        <v>349166.67988893302</v>
      </c>
      <c r="AG61" s="2">
        <f t="shared" si="23"/>
        <v>363350.69416898058</v>
      </c>
      <c r="AH61" s="2">
        <f t="shared" si="23"/>
        <v>358340.42046806827</v>
      </c>
      <c r="AI61" s="2">
        <f t="shared" si="23"/>
        <v>373724.07774692582</v>
      </c>
      <c r="AJ61" s="2">
        <f t="shared" si="23"/>
        <v>424885.32328441099</v>
      </c>
      <c r="AK61" s="2">
        <f t="shared" si="23"/>
        <v>447819.67473224911</v>
      </c>
      <c r="AL61" s="2">
        <f t="shared" si="23"/>
        <v>405832.16977389925</v>
      </c>
      <c r="AM61" s="2">
        <f t="shared" si="23"/>
        <v>412536.05712019041</v>
      </c>
      <c r="AN61" s="2">
        <f t="shared" si="23"/>
        <v>397716.93772312574</v>
      </c>
    </row>
    <row r="62" spans="1:79" x14ac:dyDescent="0.15">
      <c r="A62" s="2" t="s">
        <v>42</v>
      </c>
      <c r="B62" s="2" t="s">
        <v>85</v>
      </c>
      <c r="C62" s="2" t="s">
        <v>32</v>
      </c>
      <c r="D62" s="2" t="s">
        <v>82</v>
      </c>
      <c r="E62" s="2">
        <f>(E42/$U42)*$U37</f>
        <v>9834431.7789910156</v>
      </c>
      <c r="F62" s="2">
        <f t="shared" ref="F62:U62" si="24">(F42/$U42)*$U37</f>
        <v>7382774.4092605393</v>
      </c>
      <c r="G62" s="2">
        <f t="shared" si="24"/>
        <v>5915390.6757429158</v>
      </c>
      <c r="H62" s="2">
        <f ca="1">H62=(H42/$U42)*$U37</f>
        <v>0</v>
      </c>
      <c r="I62" s="2">
        <f t="shared" si="24"/>
        <v>4978055.9876986872</v>
      </c>
      <c r="J62" s="2">
        <f t="shared" si="24"/>
        <v>4875512.4393918449</v>
      </c>
      <c r="K62" s="2">
        <f t="shared" si="24"/>
        <v>5141259.0997926751</v>
      </c>
      <c r="L62" s="2">
        <f t="shared" si="24"/>
        <v>6399945.0483759502</v>
      </c>
      <c r="M62" s="2">
        <f t="shared" si="24"/>
        <v>6539678.686385626</v>
      </c>
      <c r="N62" s="2">
        <f t="shared" si="24"/>
        <v>6225187.7336558402</v>
      </c>
      <c r="O62" s="2">
        <f t="shared" si="24"/>
        <v>5896976.165307533</v>
      </c>
      <c r="P62" s="2">
        <f t="shared" si="24"/>
        <v>6275015.2324809954</v>
      </c>
      <c r="Q62" s="2">
        <f t="shared" si="24"/>
        <v>6786649.7675190046</v>
      </c>
      <c r="R62" s="2">
        <f t="shared" si="24"/>
        <v>8587661.1018659286</v>
      </c>
      <c r="S62" s="2">
        <f t="shared" si="24"/>
        <v>9481306.4612301309</v>
      </c>
      <c r="T62" s="2">
        <f t="shared" si="24"/>
        <v>9850679.8764340021</v>
      </c>
      <c r="U62" s="2">
        <f t="shared" si="24"/>
        <v>10449332</v>
      </c>
      <c r="V62" s="2">
        <v>2597000.25</v>
      </c>
      <c r="W62" s="2">
        <v>2806922</v>
      </c>
      <c r="X62" s="2">
        <v>2446643</v>
      </c>
      <c r="Y62" s="2">
        <v>1707567</v>
      </c>
      <c r="Z62" s="2">
        <v>1500494.5</v>
      </c>
      <c r="AA62" s="2">
        <v>1603842.75</v>
      </c>
      <c r="AB62" s="2">
        <v>1534606</v>
      </c>
      <c r="AC62" s="2">
        <v>1647063.5</v>
      </c>
      <c r="AD62" s="2">
        <v>1539971.25</v>
      </c>
      <c r="AE62" s="2">
        <v>1562063</v>
      </c>
      <c r="AF62" s="2">
        <v>1835696.75</v>
      </c>
      <c r="AG62" s="2">
        <v>1882709.75</v>
      </c>
      <c r="AH62" s="2">
        <v>2102201.25</v>
      </c>
      <c r="AI62" s="2">
        <v>1942836.25</v>
      </c>
      <c r="AJ62" s="2">
        <v>2040924.75</v>
      </c>
      <c r="AK62" s="2">
        <v>2249199.5</v>
      </c>
      <c r="AL62" s="2">
        <v>2351140</v>
      </c>
      <c r="AM62" s="2">
        <v>1744006.75</v>
      </c>
      <c r="AN62" s="2">
        <v>1587258.75</v>
      </c>
    </row>
    <row r="63" spans="1:79" x14ac:dyDescent="0.15">
      <c r="A63" s="2" t="s">
        <v>43</v>
      </c>
      <c r="B63" s="2" t="s">
        <v>85</v>
      </c>
      <c r="C63" s="2" t="s">
        <v>49</v>
      </c>
      <c r="D63" s="2" t="s">
        <v>82</v>
      </c>
      <c r="E63" s="2">
        <f>(E43/$U43)*$U38</f>
        <v>949116.41484300664</v>
      </c>
      <c r="F63" s="2">
        <f>(F43/$U43)*$U38</f>
        <v>981091.577545195</v>
      </c>
      <c r="G63" s="2">
        <f t="shared" ref="G63:U63" si="25">(G43/$U43)*$U38</f>
        <v>788655.68981921976</v>
      </c>
      <c r="H63" s="2">
        <f t="shared" si="25"/>
        <v>560735.1703139866</v>
      </c>
      <c r="I63" s="2">
        <f t="shared" si="25"/>
        <v>712422.22264509997</v>
      </c>
      <c r="J63" s="2">
        <f t="shared" si="25"/>
        <v>766429.05233111326</v>
      </c>
      <c r="K63" s="2">
        <f t="shared" si="25"/>
        <v>710277.54709800193</v>
      </c>
      <c r="L63" s="2">
        <f t="shared" si="25"/>
        <v>592320.39200761181</v>
      </c>
      <c r="M63" s="2">
        <f t="shared" si="25"/>
        <v>673038.18078020925</v>
      </c>
      <c r="N63" s="2">
        <f t="shared" si="25"/>
        <v>585496.42435775453</v>
      </c>
      <c r="O63" s="2">
        <f t="shared" si="25"/>
        <v>620981.05613701232</v>
      </c>
      <c r="P63" s="2">
        <f t="shared" si="25"/>
        <v>642427.81160799239</v>
      </c>
      <c r="Q63" s="2">
        <f t="shared" si="25"/>
        <v>751806.26450999046</v>
      </c>
      <c r="R63" s="2">
        <f t="shared" si="25"/>
        <v>765064.25880114175</v>
      </c>
      <c r="S63" s="2">
        <f t="shared" si="25"/>
        <v>895694.4966698382</v>
      </c>
      <c r="T63" s="2">
        <f t="shared" si="25"/>
        <v>1411391.480494767</v>
      </c>
      <c r="U63" s="2">
        <f t="shared" si="25"/>
        <v>1639312</v>
      </c>
      <c r="V63" s="2">
        <v>441321</v>
      </c>
      <c r="W63" s="2">
        <v>393806</v>
      </c>
      <c r="X63" s="2">
        <v>337790.5</v>
      </c>
      <c r="Y63" s="2">
        <v>258533</v>
      </c>
      <c r="Z63" s="2">
        <v>226679.25</v>
      </c>
      <c r="AA63" s="2">
        <v>270637</v>
      </c>
      <c r="AB63" s="2">
        <v>260657</v>
      </c>
      <c r="AC63" s="2">
        <v>266249.25</v>
      </c>
      <c r="AD63" s="2">
        <v>290653.75</v>
      </c>
      <c r="AE63" s="2">
        <v>339745.5</v>
      </c>
      <c r="AF63" s="2">
        <v>415766</v>
      </c>
      <c r="AG63" s="2">
        <v>446967.5</v>
      </c>
      <c r="AH63" s="2">
        <v>479147</v>
      </c>
      <c r="AI63" s="2">
        <v>411464</v>
      </c>
      <c r="AJ63" s="2">
        <v>508251.5</v>
      </c>
      <c r="AK63" s="2">
        <v>455630.5</v>
      </c>
      <c r="AL63" s="2">
        <v>506461.25</v>
      </c>
      <c r="AM63" s="2">
        <v>325681.5</v>
      </c>
      <c r="AN63" s="2">
        <v>326763.5</v>
      </c>
    </row>
    <row r="64" spans="1:79" ht="17" customHeight="1" x14ac:dyDescent="0.15">
      <c r="A64" s="2" t="s">
        <v>44</v>
      </c>
      <c r="B64" s="2" t="s">
        <v>85</v>
      </c>
      <c r="C64" s="2" t="s">
        <v>49</v>
      </c>
      <c r="D64" s="2" t="s">
        <v>82</v>
      </c>
      <c r="E64" s="2">
        <f>(E44/$U44)*$U39</f>
        <v>94432.038188494495</v>
      </c>
      <c r="F64" s="2">
        <f t="shared" ref="F64:U64" si="26">(F44/$U44)*$U39</f>
        <v>293326.83182374539</v>
      </c>
      <c r="G64" s="2">
        <f t="shared" si="26"/>
        <v>128966.36474908201</v>
      </c>
      <c r="H64" s="2">
        <f t="shared" si="26"/>
        <v>113920.28886168911</v>
      </c>
      <c r="I64" s="2">
        <f t="shared" si="26"/>
        <v>228843.64944920439</v>
      </c>
      <c r="J64" s="2">
        <f t="shared" si="26"/>
        <v>276704.50036719709</v>
      </c>
      <c r="K64" s="2">
        <f t="shared" si="26"/>
        <v>149887.57503059975</v>
      </c>
      <c r="L64" s="2">
        <f t="shared" si="26"/>
        <v>155619.41346389227</v>
      </c>
      <c r="M64" s="2">
        <f t="shared" si="26"/>
        <v>108331.74638922888</v>
      </c>
      <c r="N64" s="2">
        <f t="shared" si="26"/>
        <v>114923.3605875153</v>
      </c>
      <c r="O64" s="2">
        <f t="shared" si="26"/>
        <v>133981.72337821298</v>
      </c>
      <c r="P64" s="2">
        <f t="shared" si="26"/>
        <v>170808.78531211751</v>
      </c>
      <c r="Q64" s="2">
        <f t="shared" si="26"/>
        <v>147881.43157894738</v>
      </c>
      <c r="R64" s="2">
        <f t="shared" si="26"/>
        <v>138567.19412484701</v>
      </c>
      <c r="S64" s="2">
        <f t="shared" si="26"/>
        <v>252630.77894736844</v>
      </c>
      <c r="T64" s="2">
        <f t="shared" si="26"/>
        <v>452528.64430844557</v>
      </c>
      <c r="U64" s="2">
        <f t="shared" si="26"/>
        <v>585364</v>
      </c>
      <c r="V64" s="2">
        <v>160631.25</v>
      </c>
      <c r="W64" s="2">
        <v>124542</v>
      </c>
      <c r="X64" s="2">
        <v>105934.25</v>
      </c>
      <c r="Y64" s="2">
        <v>96787</v>
      </c>
      <c r="Z64" s="2">
        <v>86889</v>
      </c>
      <c r="AA64" s="2">
        <v>98403.5</v>
      </c>
      <c r="AB64" s="2">
        <v>78965.5</v>
      </c>
      <c r="AC64" s="2">
        <v>110968.25</v>
      </c>
      <c r="AD64" s="2">
        <v>111467.5</v>
      </c>
      <c r="AE64" s="2">
        <v>179663.75</v>
      </c>
      <c r="AF64" s="2">
        <v>214070.5</v>
      </c>
      <c r="AG64" s="2">
        <v>217362</v>
      </c>
      <c r="AH64" s="2">
        <v>215624</v>
      </c>
      <c r="AI64" s="2">
        <v>179660.75</v>
      </c>
      <c r="AJ64" s="2">
        <v>215636.5</v>
      </c>
      <c r="AK64" s="2">
        <v>139949</v>
      </c>
      <c r="AL64" s="2">
        <v>201313.75</v>
      </c>
      <c r="AM64" s="2">
        <v>90329.25</v>
      </c>
      <c r="AN64" s="2">
        <v>119770.5</v>
      </c>
    </row>
    <row r="65" spans="1:40" x14ac:dyDescent="0.15">
      <c r="A65" s="6" t="s">
        <v>47</v>
      </c>
      <c r="B65" s="2" t="s">
        <v>85</v>
      </c>
      <c r="C65" s="2" t="s">
        <v>50</v>
      </c>
      <c r="D65" s="2" t="s">
        <v>82</v>
      </c>
      <c r="E65" s="2">
        <f>(E45/$U45)*$U40</f>
        <v>9598253.3304110654</v>
      </c>
      <c r="F65" s="2">
        <f t="shared" ref="F65:U65" si="27">(F45/$U45)*$U40</f>
        <v>6614380.3964543156</v>
      </c>
      <c r="G65" s="2">
        <f>(G45/$U45)*$U40</f>
        <v>5294078.8408338204</v>
      </c>
      <c r="H65" s="2">
        <f t="shared" si="27"/>
        <v>4829377.3183323592</v>
      </c>
      <c r="I65" s="2">
        <f t="shared" si="27"/>
        <v>4347941.3919735048</v>
      </c>
      <c r="J65" s="2">
        <f t="shared" si="27"/>
        <v>4107223.4287940776</v>
      </c>
      <c r="K65" s="2">
        <f t="shared" si="27"/>
        <v>4546608.801870252</v>
      </c>
      <c r="L65" s="2">
        <f t="shared" si="27"/>
        <v>6302004.857782972</v>
      </c>
      <c r="M65" s="2">
        <f t="shared" si="27"/>
        <v>6290419.5012663156</v>
      </c>
      <c r="N65" s="2">
        <f t="shared" si="27"/>
        <v>6109344.6697837515</v>
      </c>
      <c r="O65" s="2">
        <f t="shared" si="27"/>
        <v>5641210.4490551334</v>
      </c>
      <c r="P65" s="2">
        <f t="shared" si="27"/>
        <v>6043265.2289109686</v>
      </c>
      <c r="Q65" s="2">
        <f t="shared" si="27"/>
        <v>6410563.9392168317</v>
      </c>
      <c r="R65" s="2">
        <f t="shared" si="27"/>
        <v>8521673.3489187602</v>
      </c>
      <c r="S65" s="2">
        <f t="shared" si="27"/>
        <v>9296175.8864211962</v>
      </c>
      <c r="T65" s="2">
        <f t="shared" si="27"/>
        <v>8600196.3208649922</v>
      </c>
      <c r="U65" s="2">
        <f t="shared" si="27"/>
        <v>8810020</v>
      </c>
      <c r="V65" s="2">
        <v>2155679.25</v>
      </c>
      <c r="W65" s="2">
        <v>2413116</v>
      </c>
      <c r="X65" s="2">
        <v>2108852.5</v>
      </c>
      <c r="Y65" s="2">
        <v>1449034</v>
      </c>
      <c r="Z65" s="2">
        <v>1273815.25</v>
      </c>
      <c r="AA65" s="2">
        <v>1333205.75</v>
      </c>
      <c r="AB65" s="2">
        <v>1273949</v>
      </c>
      <c r="AC65" s="2">
        <v>1380814.25</v>
      </c>
      <c r="AD65" s="2">
        <v>1249317.5</v>
      </c>
      <c r="AE65" s="2">
        <v>1222317.5</v>
      </c>
      <c r="AF65" s="2">
        <v>1419930.75</v>
      </c>
      <c r="AG65" s="2">
        <v>1435742.25</v>
      </c>
      <c r="AH65" s="2">
        <v>1623054.25</v>
      </c>
      <c r="AI65" s="2">
        <v>1531372.25</v>
      </c>
      <c r="AJ65" s="2">
        <v>1532673.25</v>
      </c>
      <c r="AK65" s="2">
        <v>1793569</v>
      </c>
      <c r="AL65" s="2">
        <v>1844678.75</v>
      </c>
      <c r="AM65" s="2">
        <v>1418325.25</v>
      </c>
      <c r="AN65" s="2">
        <v>1260495.25</v>
      </c>
    </row>
    <row r="66" spans="1:40" ht="15" customHeight="1" x14ac:dyDescent="0.15">
      <c r="A66" s="6" t="s">
        <v>48</v>
      </c>
      <c r="B66" s="2" t="s">
        <v>85</v>
      </c>
      <c r="C66" s="2" t="s">
        <v>50</v>
      </c>
      <c r="D66" s="2" t="s">
        <v>82</v>
      </c>
      <c r="E66" s="2">
        <f>(E46/$U46)*$U41</f>
        <v>10547758.660390263</v>
      </c>
      <c r="F66" s="2">
        <f t="shared" ref="F66:U66" si="28">(F46/$U46)*$U41</f>
        <v>7302233.4017300345</v>
      </c>
      <c r="G66" s="2">
        <f t="shared" si="28"/>
        <v>6144591.2912492454</v>
      </c>
      <c r="H66" s="2">
        <f t="shared" si="28"/>
        <v>5292531.7742104204</v>
      </c>
      <c r="I66" s="2">
        <f t="shared" si="28"/>
        <v>4837729.6286461474</v>
      </c>
      <c r="J66" s="2">
        <f t="shared" si="28"/>
        <v>4592469.8328706501</v>
      </c>
      <c r="K66" s="2">
        <f t="shared" si="28"/>
        <v>5235780.7211426264</v>
      </c>
      <c r="L66" s="2">
        <f t="shared" si="28"/>
        <v>6603362.0419231541</v>
      </c>
      <c r="M66" s="2">
        <f t="shared" si="28"/>
        <v>6887911.0282840468</v>
      </c>
      <c r="N66" s="2">
        <f t="shared" si="28"/>
        <v>6523989.9397304365</v>
      </c>
      <c r="O66" s="2">
        <f t="shared" si="28"/>
        <v>6110461.2873063767</v>
      </c>
      <c r="P66" s="2">
        <f t="shared" si="28"/>
        <v>6423981.0909676123</v>
      </c>
      <c r="Q66" s="2">
        <f t="shared" si="28"/>
        <v>7049830.1167571917</v>
      </c>
      <c r="R66" s="2">
        <f t="shared" si="28"/>
        <v>9055166.278656207</v>
      </c>
      <c r="S66" s="2">
        <f t="shared" si="28"/>
        <v>9721495.0765640717</v>
      </c>
      <c r="T66" s="2">
        <f t="shared" si="28"/>
        <v>9573862.9664856158</v>
      </c>
      <c r="U66" s="2">
        <f t="shared" si="28"/>
        <v>9863968</v>
      </c>
      <c r="V66" s="2">
        <v>2436369</v>
      </c>
      <c r="W66" s="2">
        <v>2682380</v>
      </c>
      <c r="X66" s="2">
        <v>2340708.75</v>
      </c>
      <c r="Y66" s="2">
        <v>1610780</v>
      </c>
      <c r="Z66" s="2">
        <v>1413605.5</v>
      </c>
      <c r="AA66" s="2">
        <v>1505439.25</v>
      </c>
      <c r="AB66" s="2">
        <v>1455640.5</v>
      </c>
      <c r="AC66" s="2">
        <v>1536095.25</v>
      </c>
      <c r="AD66" s="2">
        <v>1428503.75</v>
      </c>
      <c r="AE66" s="2">
        <v>1382399.25</v>
      </c>
      <c r="AF66" s="2">
        <v>1621626.25</v>
      </c>
      <c r="AG66" s="2">
        <v>1665347.75</v>
      </c>
      <c r="AH66" s="2">
        <v>1886577.25</v>
      </c>
      <c r="AI66" s="2">
        <v>1763175.5</v>
      </c>
      <c r="AJ66" s="2">
        <v>1825288.25</v>
      </c>
      <c r="AK66" s="2">
        <v>2109250.5</v>
      </c>
      <c r="AL66" s="2">
        <v>2149826.25</v>
      </c>
      <c r="AM66" s="2">
        <v>1653677.5</v>
      </c>
      <c r="AN66" s="2">
        <v>1467488.25</v>
      </c>
    </row>
    <row r="67" spans="1:40" ht="15" customHeight="1" x14ac:dyDescent="0.15">
      <c r="A67" s="2" t="s">
        <v>42</v>
      </c>
      <c r="B67" s="2" t="s">
        <v>87</v>
      </c>
      <c r="C67" s="2" t="s">
        <v>32</v>
      </c>
      <c r="D67" s="2" t="s">
        <v>76</v>
      </c>
      <c r="E67" s="2">
        <f t="shared" ref="E67:U67" si="29">($Z25/$Z30)*E25</f>
        <v>255517429.63847807</v>
      </c>
      <c r="F67" s="2">
        <f t="shared" si="29"/>
        <v>257764042.9970066</v>
      </c>
      <c r="G67" s="2">
        <f>($Z25/$Z30)*G25</f>
        <v>259522247.68065283</v>
      </c>
      <c r="H67" s="2">
        <f t="shared" si="29"/>
        <v>260948776.22676945</v>
      </c>
      <c r="I67" s="2">
        <f t="shared" si="29"/>
        <v>262295864.39168778</v>
      </c>
      <c r="J67" s="2">
        <f t="shared" si="29"/>
        <v>263805140.21227577</v>
      </c>
      <c r="K67" s="2">
        <f t="shared" si="29"/>
        <v>265397632.189331</v>
      </c>
      <c r="L67" s="2">
        <f t="shared" si="29"/>
        <v>267237666.39432025</v>
      </c>
      <c r="M67" s="2">
        <f t="shared" si="29"/>
        <v>269367149.49894893</v>
      </c>
      <c r="N67" s="2">
        <f t="shared" si="29"/>
        <v>271712141.7552408</v>
      </c>
      <c r="O67" s="2">
        <f t="shared" si="29"/>
        <v>274042024.63253903</v>
      </c>
      <c r="P67" s="2">
        <f t="shared" si="29"/>
        <v>276481250.39890677</v>
      </c>
      <c r="Q67" s="2">
        <f t="shared" si="29"/>
        <v>278763398.34243524</v>
      </c>
      <c r="R67" s="2">
        <f t="shared" si="29"/>
        <v>281016115.01430768</v>
      </c>
      <c r="S67" s="2">
        <f t="shared" si="29"/>
        <v>283642676.59848899</v>
      </c>
      <c r="T67" s="2">
        <f t="shared" si="29"/>
        <v>286072898.65342617</v>
      </c>
      <c r="U67" s="2">
        <f t="shared" si="29"/>
        <v>288678783.52251381</v>
      </c>
      <c r="V67" s="2">
        <f t="shared" ref="V67:Z71" si="30">($Z25/$Z30)*V30</f>
        <v>291835084.0619424</v>
      </c>
      <c r="W67" s="2">
        <f t="shared" si="30"/>
        <v>295612612.83181608</v>
      </c>
      <c r="X67" s="2">
        <f t="shared" si="30"/>
        <v>299195519.47537118</v>
      </c>
      <c r="Y67" s="2">
        <f t="shared" si="30"/>
        <v>301776876.12671113</v>
      </c>
      <c r="Z67" s="2">
        <f t="shared" si="30"/>
        <v>303647000</v>
      </c>
      <c r="AA67" s="2">
        <v>305443000</v>
      </c>
      <c r="AB67" s="2">
        <v>307567000</v>
      </c>
      <c r="AC67" s="2">
        <v>309640000</v>
      </c>
      <c r="AD67" s="2">
        <v>311493000</v>
      </c>
      <c r="AE67" s="2">
        <v>313430000</v>
      </c>
      <c r="AF67" s="2">
        <v>315848000</v>
      </c>
      <c r="AG67" s="2">
        <v>319078000</v>
      </c>
      <c r="AH67" s="2">
        <v>322061000</v>
      </c>
      <c r="AI67" s="2">
        <v>326122000</v>
      </c>
      <c r="AJ67" s="2">
        <v>330020000</v>
      </c>
      <c r="AK67" s="2">
        <v>334053000</v>
      </c>
      <c r="AL67" s="2">
        <v>338175000</v>
      </c>
      <c r="AM67" s="2">
        <v>341975000</v>
      </c>
      <c r="AN67" s="2">
        <v>344716000</v>
      </c>
    </row>
    <row r="68" spans="1:40" ht="17" customHeight="1" x14ac:dyDescent="0.15">
      <c r="A68" s="2" t="s">
        <v>43</v>
      </c>
      <c r="B68" s="2" t="s">
        <v>87</v>
      </c>
      <c r="C68" s="2" t="s">
        <v>49</v>
      </c>
      <c r="D68" s="2" t="s">
        <v>76</v>
      </c>
      <c r="E68" s="2">
        <f t="shared" ref="E68:U68" si="31">($Z26/$Z31)*E26</f>
        <v>73941489.10815236</v>
      </c>
      <c r="F68" s="2">
        <f t="shared" si="31"/>
        <v>74330443.809756666</v>
      </c>
      <c r="G68" s="2">
        <f t="shared" si="31"/>
        <v>74713682.03895849</v>
      </c>
      <c r="H68" s="2">
        <f t="shared" si="31"/>
        <v>74876579.345559254</v>
      </c>
      <c r="I68" s="2">
        <f>($Z26/$Z31)*I26</f>
        <v>75147586.727845326</v>
      </c>
      <c r="J68" s="2">
        <f t="shared" si="31"/>
        <v>75449593.400415778</v>
      </c>
      <c r="K68" s="2">
        <f t="shared" si="31"/>
        <v>75829418.658575803</v>
      </c>
      <c r="L68" s="2">
        <f t="shared" si="31"/>
        <v>76195671.309442133</v>
      </c>
      <c r="M68" s="2">
        <f t="shared" si="31"/>
        <v>76507076.966826811</v>
      </c>
      <c r="N68" s="2">
        <f t="shared" si="31"/>
        <v>76844522.434598446</v>
      </c>
      <c r="O68" s="2">
        <f t="shared" si="31"/>
        <v>77175228.55502522</v>
      </c>
      <c r="P68" s="2">
        <f t="shared" si="31"/>
        <v>77603103.729496226</v>
      </c>
      <c r="Q68" s="2">
        <f t="shared" si="31"/>
        <v>77948649.667548716</v>
      </c>
      <c r="R68" s="2">
        <f t="shared" si="31"/>
        <v>78329577.077524632</v>
      </c>
      <c r="S68" s="2">
        <f>($Z26/$Z31)*S26</f>
        <v>78666002.516190365</v>
      </c>
      <c r="T68" s="2">
        <f t="shared" si="31"/>
        <v>79029434.943099946</v>
      </c>
      <c r="U68" s="2">
        <f t="shared" si="31"/>
        <v>79510268.288722605</v>
      </c>
      <c r="V68" s="2">
        <f t="shared" si="30"/>
        <v>80112942.464523226</v>
      </c>
      <c r="W68" s="2">
        <f t="shared" si="30"/>
        <v>80953852.182743356</v>
      </c>
      <c r="X68" s="2">
        <f t="shared" si="30"/>
        <v>81599637.935457125</v>
      </c>
      <c r="Y68" s="2">
        <f>($Z26/$Z31)*Y31</f>
        <v>82057871.680455282</v>
      </c>
      <c r="Z68" s="2">
        <f>($Z26/$Z31)*Z31</f>
        <v>82312000</v>
      </c>
      <c r="AA68" s="2">
        <v>82703000</v>
      </c>
      <c r="AB68" s="2">
        <v>83093000</v>
      </c>
      <c r="AC68" s="2">
        <v>83644000</v>
      </c>
      <c r="AD68" s="2">
        <v>84231000</v>
      </c>
      <c r="AE68" s="2">
        <v>84890000</v>
      </c>
      <c r="AF68" s="2">
        <v>85695000</v>
      </c>
      <c r="AG68" s="2">
        <v>86844000</v>
      </c>
      <c r="AH68" s="2">
        <v>87835000</v>
      </c>
      <c r="AI68" s="2">
        <v>89040000</v>
      </c>
      <c r="AJ68" s="2">
        <v>90101000</v>
      </c>
      <c r="AK68" s="2">
        <v>91401000</v>
      </c>
      <c r="AL68" s="2">
        <v>92549000</v>
      </c>
      <c r="AM68" s="2">
        <v>93685000</v>
      </c>
      <c r="AN68" s="2">
        <v>94556000</v>
      </c>
    </row>
    <row r="69" spans="1:40" x14ac:dyDescent="0.15">
      <c r="A69" s="2" t="s">
        <v>44</v>
      </c>
      <c r="B69" s="2" t="s">
        <v>87</v>
      </c>
      <c r="C69" s="2" t="s">
        <v>49</v>
      </c>
      <c r="D69" s="2" t="s">
        <v>76</v>
      </c>
      <c r="E69" s="2">
        <f t="shared" ref="E69:U69" si="32">($Z27/$Z32)*E27</f>
        <v>30327495.651345134</v>
      </c>
      <c r="F69" s="2">
        <f t="shared" si="32"/>
        <v>30385206.366169699</v>
      </c>
      <c r="G69" s="2">
        <f t="shared" si="32"/>
        <v>30577124.708676223</v>
      </c>
      <c r="H69" s="2">
        <f t="shared" si="32"/>
        <v>30500950.327983048</v>
      </c>
      <c r="I69" s="2">
        <f t="shared" si="32"/>
        <v>30527393.196828291</v>
      </c>
      <c r="J69" s="2">
        <f t="shared" si="32"/>
        <v>30619249.40347369</v>
      </c>
      <c r="K69" s="2">
        <f t="shared" si="32"/>
        <v>30781589.725775253</v>
      </c>
      <c r="L69" s="2">
        <f t="shared" si="32"/>
        <v>30833072.188444801</v>
      </c>
      <c r="M69" s="2">
        <f t="shared" si="32"/>
        <v>30910520.657888837</v>
      </c>
      <c r="N69" s="2">
        <f t="shared" si="32"/>
        <v>30954280.556078013</v>
      </c>
      <c r="O69" s="2">
        <f t="shared" si="32"/>
        <v>31025652.9357187</v>
      </c>
      <c r="P69" s="2">
        <f t="shared" si="32"/>
        <v>31103640.259302687</v>
      </c>
      <c r="Q69" s="2">
        <f t="shared" si="32"/>
        <v>31179124.490526188</v>
      </c>
      <c r="R69" s="2">
        <f t="shared" si="32"/>
        <v>31267879.359667797</v>
      </c>
      <c r="S69" s="2">
        <f t="shared" si="32"/>
        <v>31337595.293879073</v>
      </c>
      <c r="T69" s="2">
        <f t="shared" si="32"/>
        <v>31387265.680679757</v>
      </c>
      <c r="U69" s="2">
        <f t="shared" si="32"/>
        <v>31494965.846381433</v>
      </c>
      <c r="V69" s="2">
        <f t="shared" si="30"/>
        <v>31734939.313801706</v>
      </c>
      <c r="W69" s="2">
        <f t="shared" si="30"/>
        <v>32047538.441086803</v>
      </c>
      <c r="X69" s="2">
        <f t="shared" si="30"/>
        <v>32281436.252214696</v>
      </c>
      <c r="Y69" s="2">
        <f t="shared" si="30"/>
        <v>32390927.685258519</v>
      </c>
      <c r="Z69" s="2">
        <f t="shared" si="30"/>
        <v>32485000.000000004</v>
      </c>
      <c r="AA69" s="2">
        <v>32640000</v>
      </c>
      <c r="AB69" s="2">
        <v>32800000</v>
      </c>
      <c r="AC69" s="2">
        <v>33034000</v>
      </c>
      <c r="AD69" s="2">
        <v>33368000</v>
      </c>
      <c r="AE69" s="2">
        <v>33735000</v>
      </c>
      <c r="AF69" s="2">
        <v>34238000</v>
      </c>
      <c r="AG69" s="2">
        <v>34973000</v>
      </c>
      <c r="AH69" s="2">
        <v>35526000</v>
      </c>
      <c r="AI69" s="2">
        <v>36248000</v>
      </c>
      <c r="AJ69" s="2">
        <v>36772000</v>
      </c>
      <c r="AK69" s="2">
        <v>37374000</v>
      </c>
      <c r="AL69" s="2">
        <v>37736000</v>
      </c>
      <c r="AM69" s="2">
        <v>38173000</v>
      </c>
      <c r="AN69" s="2">
        <v>38410000</v>
      </c>
    </row>
    <row r="70" spans="1:40" ht="15" customHeight="1" x14ac:dyDescent="0.15">
      <c r="A70" s="6" t="s">
        <v>47</v>
      </c>
      <c r="B70" s="2" t="s">
        <v>87</v>
      </c>
      <c r="C70" s="2" t="s">
        <v>50</v>
      </c>
      <c r="D70" s="2" t="s">
        <v>76</v>
      </c>
      <c r="E70" s="2">
        <f t="shared" ref="E70:U70" si="33">($Z28/$Z33)*E28</f>
        <v>181796811.68853018</v>
      </c>
      <c r="F70" s="2">
        <f t="shared" si="33"/>
        <v>183644076.93253201</v>
      </c>
      <c r="G70" s="2">
        <f t="shared" si="33"/>
        <v>185014633.27580807</v>
      </c>
      <c r="H70" s="2">
        <f t="shared" si="33"/>
        <v>186267693.96057811</v>
      </c>
      <c r="I70" s="2">
        <f t="shared" si="33"/>
        <v>187339327.49711487</v>
      </c>
      <c r="J70" s="2">
        <f t="shared" si="33"/>
        <v>188541536.98586622</v>
      </c>
      <c r="K70" s="2">
        <f t="shared" si="33"/>
        <v>189751754.0825372</v>
      </c>
      <c r="L70" s="2">
        <f t="shared" si="33"/>
        <v>191219275.5738678</v>
      </c>
      <c r="M70" s="2">
        <f t="shared" si="33"/>
        <v>193024796.51827613</v>
      </c>
      <c r="N70" s="2">
        <f t="shared" si="33"/>
        <v>195018257.44986516</v>
      </c>
      <c r="O70" s="2">
        <f t="shared" si="33"/>
        <v>197003223.49201941</v>
      </c>
      <c r="P70" s="2">
        <f t="shared" si="33"/>
        <v>199003552.84636426</v>
      </c>
      <c r="Q70" s="2">
        <f t="shared" si="33"/>
        <v>200927256.21408492</v>
      </c>
      <c r="R70" s="2">
        <f t="shared" si="33"/>
        <v>202788194.77882212</v>
      </c>
      <c r="S70" s="2">
        <f t="shared" si="33"/>
        <v>205060591.84075883</v>
      </c>
      <c r="T70" s="2">
        <f t="shared" si="33"/>
        <v>207113431.78222799</v>
      </c>
      <c r="U70" s="2">
        <f t="shared" si="33"/>
        <v>209227829.55593249</v>
      </c>
      <c r="V70" s="2">
        <f t="shared" si="30"/>
        <v>211769509.69365466</v>
      </c>
      <c r="W70" s="2">
        <f t="shared" si="30"/>
        <v>214697480.89680696</v>
      </c>
      <c r="X70" s="2">
        <f t="shared" si="30"/>
        <v>217619229.77065915</v>
      </c>
      <c r="Y70" s="2">
        <f t="shared" si="30"/>
        <v>219730945.55929929</v>
      </c>
      <c r="Z70" s="2">
        <f t="shared" si="30"/>
        <v>221335000</v>
      </c>
      <c r="AA70" s="2">
        <v>222740000</v>
      </c>
      <c r="AB70" s="2">
        <v>224474000</v>
      </c>
      <c r="AC70" s="2">
        <v>225996000</v>
      </c>
      <c r="AD70" s="2">
        <v>227262000</v>
      </c>
      <c r="AE70" s="2">
        <v>228540000</v>
      </c>
      <c r="AF70" s="2">
        <v>230153000</v>
      </c>
      <c r="AG70" s="2">
        <v>232234000</v>
      </c>
      <c r="AH70" s="2">
        <v>234226000</v>
      </c>
      <c r="AI70" s="2">
        <v>237082000</v>
      </c>
      <c r="AJ70" s="2">
        <v>239919000</v>
      </c>
      <c r="AK70" s="2">
        <v>242652000</v>
      </c>
      <c r="AL70" s="2">
        <v>245626000</v>
      </c>
      <c r="AM70" s="2">
        <v>248290000</v>
      </c>
      <c r="AN70" s="2">
        <v>250160000</v>
      </c>
    </row>
    <row r="71" spans="1:40" ht="17" customHeight="1" x14ac:dyDescent="0.15">
      <c r="A71" s="6" t="s">
        <v>48</v>
      </c>
      <c r="B71" s="2" t="s">
        <v>87</v>
      </c>
      <c r="C71" s="2" t="s">
        <v>50</v>
      </c>
      <c r="D71" s="2" t="s">
        <v>76</v>
      </c>
      <c r="E71" s="2">
        <f t="shared" ref="E71:T71" si="34">($Z29/$Z34)*E29</f>
        <v>778478147.86390162</v>
      </c>
      <c r="F71" s="2">
        <f t="shared" si="34"/>
        <v>785968352.19288087</v>
      </c>
      <c r="G71" s="2">
        <f t="shared" si="34"/>
        <v>791376818.30414426</v>
      </c>
      <c r="H71" s="2">
        <f t="shared" si="34"/>
        <v>796481406.82457554</v>
      </c>
      <c r="I71" s="2">
        <f t="shared" si="34"/>
        <v>800997808.66250157</v>
      </c>
      <c r="J71" s="2">
        <f t="shared" si="34"/>
        <v>805865725.62096882</v>
      </c>
      <c r="K71" s="2">
        <f t="shared" si="34"/>
        <v>810799933.86701846</v>
      </c>
      <c r="L71" s="2">
        <f t="shared" si="34"/>
        <v>816921579.42794859</v>
      </c>
      <c r="M71" s="2">
        <f t="shared" si="34"/>
        <v>823950997.90136695</v>
      </c>
      <c r="N71" s="2">
        <f t="shared" si="34"/>
        <v>831820104.67819571</v>
      </c>
      <c r="O71" s="2">
        <f t="shared" si="34"/>
        <v>839552331.0690459</v>
      </c>
      <c r="P71" s="2">
        <f t="shared" si="34"/>
        <v>847637347.59318113</v>
      </c>
      <c r="Q71" s="2">
        <f t="shared" si="34"/>
        <v>855193934.28208148</v>
      </c>
      <c r="R71" s="2">
        <f t="shared" si="34"/>
        <v>862609062.8606776</v>
      </c>
      <c r="S71" s="2">
        <f t="shared" si="34"/>
        <v>871359077.5493356</v>
      </c>
      <c r="T71" s="2">
        <f t="shared" si="34"/>
        <v>879500844.19426048</v>
      </c>
      <c r="U71" s="2">
        <f>($Z29/$Z34)*U29</f>
        <v>888062932.45101988</v>
      </c>
      <c r="V71" s="2">
        <f t="shared" si="30"/>
        <v>263917602.59214994</v>
      </c>
      <c r="W71" s="2">
        <f t="shared" si="30"/>
        <v>266687827.60201496</v>
      </c>
      <c r="X71" s="2">
        <f t="shared" si="30"/>
        <v>268815251.99065048</v>
      </c>
      <c r="Y71" s="2">
        <f t="shared" si="30"/>
        <v>270324820.20380521</v>
      </c>
      <c r="Z71" s="2">
        <f t="shared" si="30"/>
        <v>271162000</v>
      </c>
      <c r="AA71" s="2">
        <v>272803000</v>
      </c>
      <c r="AB71" s="2">
        <v>274767000</v>
      </c>
      <c r="AC71" s="2">
        <v>276606000</v>
      </c>
      <c r="AD71" s="2">
        <v>278125000</v>
      </c>
      <c r="AE71" s="2">
        <v>279695000</v>
      </c>
      <c r="AF71" s="2">
        <v>281610000</v>
      </c>
      <c r="AG71" s="2">
        <v>284105000</v>
      </c>
      <c r="AH71" s="2">
        <v>286535000</v>
      </c>
      <c r="AI71" s="2">
        <v>289874000</v>
      </c>
      <c r="AJ71" s="2">
        <v>293248000</v>
      </c>
      <c r="AK71" s="2">
        <v>296679000</v>
      </c>
      <c r="AL71" s="2">
        <v>300439000</v>
      </c>
      <c r="AM71" s="2">
        <v>303802000</v>
      </c>
      <c r="AN71" s="2">
        <v>306306000</v>
      </c>
    </row>
    <row r="72" spans="1:40" ht="17" customHeight="1" x14ac:dyDescent="0.15">
      <c r="A72" s="2" t="s">
        <v>42</v>
      </c>
      <c r="B72" s="2" t="s">
        <v>87</v>
      </c>
      <c r="C72" s="2" t="s">
        <v>32</v>
      </c>
      <c r="D72" s="2" t="s">
        <v>95</v>
      </c>
      <c r="G72" s="2">
        <f>G67*G14/(10^6)</f>
        <v>1044252.6441050268</v>
      </c>
      <c r="H72" s="2">
        <f t="shared" ref="H72:AM72" si="35">H67*H14/(10^6)</f>
        <v>1081828.3890421295</v>
      </c>
      <c r="I72" s="2">
        <f t="shared" si="35"/>
        <v>1154823.1169505033</v>
      </c>
      <c r="J72" s="2">
        <f t="shared" si="35"/>
        <v>1221285.8966127308</v>
      </c>
      <c r="K72" s="2">
        <f t="shared" si="35"/>
        <v>1371442.2643383679</v>
      </c>
      <c r="L72" s="2">
        <f t="shared" si="35"/>
        <v>1535013.1557689756</v>
      </c>
      <c r="M72" s="2">
        <f t="shared" si="35"/>
        <v>1683612.0261558057</v>
      </c>
      <c r="N72" s="2">
        <f t="shared" si="35"/>
        <v>1847234.9957230047</v>
      </c>
      <c r="O72" s="2">
        <f t="shared" si="35"/>
        <v>1986188.0840304848</v>
      </c>
      <c r="P72" s="2">
        <f t="shared" si="35"/>
        <v>2112524.1139854467</v>
      </c>
      <c r="Q72" s="2">
        <f t="shared" si="35"/>
        <v>2202858.064551509</v>
      </c>
      <c r="R72" s="2">
        <f t="shared" si="35"/>
        <v>2310303.7355613769</v>
      </c>
      <c r="S72" s="2">
        <f t="shared" si="35"/>
        <v>2555904.1588289845</v>
      </c>
      <c r="T72" s="2">
        <f t="shared" si="35"/>
        <v>3042671.350077841</v>
      </c>
      <c r="U72" s="2">
        <f t="shared" si="35"/>
        <v>3752607.6767050377</v>
      </c>
      <c r="V72" s="2">
        <f t="shared" si="35"/>
        <v>3959983.2144075115</v>
      </c>
      <c r="W72" s="2">
        <f t="shared" si="35"/>
        <v>3842298.8384347372</v>
      </c>
      <c r="X72" s="2">
        <f t="shared" si="35"/>
        <v>3481738.2601348944</v>
      </c>
      <c r="Y72" s="2">
        <f t="shared" si="35"/>
        <v>3610458.545979972</v>
      </c>
      <c r="Z72" s="2">
        <f t="shared" si="35"/>
        <v>3501049.91</v>
      </c>
      <c r="AA72" s="2">
        <f t="shared" si="35"/>
        <v>3364378.28425</v>
      </c>
      <c r="AB72" s="2">
        <f t="shared" si="35"/>
        <v>3415377.7514999998</v>
      </c>
      <c r="AC72" s="2">
        <f t="shared" si="35"/>
        <v>3491655.46</v>
      </c>
      <c r="AD72" s="2">
        <f t="shared" si="35"/>
        <v>3746170.5644999999</v>
      </c>
      <c r="AE72" s="2">
        <f t="shared" si="35"/>
        <v>3909490.7475000001</v>
      </c>
      <c r="AF72" s="2">
        <f t="shared" si="35"/>
        <v>4116920.7560000001</v>
      </c>
      <c r="AG72" s="2">
        <f t="shared" si="35"/>
        <v>4337067.7149999999</v>
      </c>
      <c r="AH72" s="2">
        <f t="shared" si="35"/>
        <v>4504103.6002500001</v>
      </c>
      <c r="AI72" s="2">
        <f t="shared" si="35"/>
        <v>4753065.0889999997</v>
      </c>
      <c r="AJ72" s="2">
        <f t="shared" si="35"/>
        <v>5382296.1799999997</v>
      </c>
      <c r="AK72" s="2">
        <f t="shared" si="35"/>
        <v>5493334.5585000003</v>
      </c>
      <c r="AL72" s="2">
        <f t="shared" si="35"/>
        <v>5414519.9249999998</v>
      </c>
      <c r="AM72" s="2">
        <f t="shared" si="35"/>
        <v>5776043.2437500004</v>
      </c>
    </row>
    <row r="73" spans="1:40" ht="17" customHeight="1" x14ac:dyDescent="0.15">
      <c r="A73" s="2" t="s">
        <v>43</v>
      </c>
      <c r="B73" s="2" t="s">
        <v>87</v>
      </c>
      <c r="C73" s="2" t="s">
        <v>49</v>
      </c>
      <c r="D73" s="2" t="s">
        <v>95</v>
      </c>
      <c r="G73" s="2">
        <f t="shared" ref="G73:AM73" si="36">G68*G15/(10^6)</f>
        <v>436981.64782535844</v>
      </c>
      <c r="H73" s="2">
        <f t="shared" si="36"/>
        <v>441191.52464887151</v>
      </c>
      <c r="I73" s="2">
        <f t="shared" si="36"/>
        <v>475064.25639675616</v>
      </c>
      <c r="J73" s="2">
        <f t="shared" si="36"/>
        <v>510114.70098021108</v>
      </c>
      <c r="K73" s="2">
        <f t="shared" si="36"/>
        <v>561687.46135873557</v>
      </c>
      <c r="L73" s="2">
        <f t="shared" si="36"/>
        <v>645263.04248401069</v>
      </c>
      <c r="M73" s="2">
        <f t="shared" si="36"/>
        <v>723450.91979831434</v>
      </c>
      <c r="N73" s="2">
        <f t="shared" si="36"/>
        <v>804043.44936381211</v>
      </c>
      <c r="O73" s="2">
        <f t="shared" si="36"/>
        <v>867796.85748698108</v>
      </c>
      <c r="P73" s="2">
        <f t="shared" si="36"/>
        <v>947650.30119274312</v>
      </c>
      <c r="Q73" s="2">
        <f t="shared" si="36"/>
        <v>1015398.0848943234</v>
      </c>
      <c r="R73" s="2">
        <f t="shared" si="36"/>
        <v>1064381.4581179435</v>
      </c>
      <c r="S73" s="2">
        <f t="shared" si="36"/>
        <v>1195054.5772247058</v>
      </c>
      <c r="T73" s="2">
        <f t="shared" si="36"/>
        <v>1513571.7380302502</v>
      </c>
      <c r="U73" s="2">
        <f t="shared" si="36"/>
        <v>1930429.8037818959</v>
      </c>
      <c r="V73" s="2">
        <f t="shared" si="36"/>
        <v>1904645.1506228074</v>
      </c>
      <c r="W73" s="2">
        <f t="shared" si="36"/>
        <v>1714339.4892109104</v>
      </c>
      <c r="X73" s="2">
        <f t="shared" si="36"/>
        <v>1460021.5217601664</v>
      </c>
      <c r="Y73" s="2">
        <f t="shared" si="36"/>
        <v>1603492.8705077765</v>
      </c>
      <c r="Z73" s="2">
        <f t="shared" si="36"/>
        <v>1567282.2139999999</v>
      </c>
      <c r="AA73" s="2">
        <f t="shared" si="36"/>
        <v>1495456.3217499999</v>
      </c>
      <c r="AB73" s="2">
        <f t="shared" si="36"/>
        <v>1563083.19625</v>
      </c>
      <c r="AC73" s="2">
        <f t="shared" si="36"/>
        <v>1648957.8160000001</v>
      </c>
      <c r="AD73" s="2">
        <f t="shared" si="36"/>
        <v>1808334.28125</v>
      </c>
      <c r="AE73" s="2">
        <f t="shared" si="36"/>
        <v>1924392.6325000001</v>
      </c>
      <c r="AF73" s="2">
        <f t="shared" si="36"/>
        <v>2058158.23875</v>
      </c>
      <c r="AG73" s="2">
        <f t="shared" si="36"/>
        <v>2184408.8429999999</v>
      </c>
      <c r="AH73" s="2">
        <f t="shared" si="36"/>
        <v>2279098.6625000001</v>
      </c>
      <c r="AI73" s="2">
        <f t="shared" si="36"/>
        <v>2448132.54</v>
      </c>
      <c r="AJ73" s="2">
        <f t="shared" si="36"/>
        <v>2923552.1974999998</v>
      </c>
      <c r="AK73" s="2">
        <f t="shared" si="36"/>
        <v>3012348.4575</v>
      </c>
      <c r="AL73" s="2">
        <f t="shared" si="36"/>
        <v>2916519.7742499998</v>
      </c>
      <c r="AM73" s="2">
        <f t="shared" si="36"/>
        <v>3153460.5212500002</v>
      </c>
    </row>
    <row r="74" spans="1:40" ht="17" customHeight="1" x14ac:dyDescent="0.15">
      <c r="A74" s="2" t="s">
        <v>44</v>
      </c>
      <c r="B74" s="2" t="s">
        <v>87</v>
      </c>
      <c r="C74" s="2" t="s">
        <v>49</v>
      </c>
      <c r="D74" s="2" t="s">
        <v>95</v>
      </c>
      <c r="G74" s="2">
        <f t="shared" ref="G74:AM74" si="37">G69*G16/(10^6)</f>
        <v>175772.60138782527</v>
      </c>
      <c r="H74" s="2">
        <f t="shared" si="37"/>
        <v>173893.54305741336</v>
      </c>
      <c r="I74" s="2">
        <f t="shared" si="37"/>
        <v>181775.36279051407</v>
      </c>
      <c r="J74" s="2">
        <f t="shared" si="37"/>
        <v>195725.89699935471</v>
      </c>
      <c r="K74" s="2">
        <f t="shared" si="37"/>
        <v>225806.0468308558</v>
      </c>
      <c r="L74" s="2">
        <f t="shared" si="37"/>
        <v>265465.04327446263</v>
      </c>
      <c r="M74" s="2">
        <f t="shared" si="37"/>
        <v>307861.05812240834</v>
      </c>
      <c r="N74" s="2">
        <f t="shared" si="37"/>
        <v>339583.93484045385</v>
      </c>
      <c r="O74" s="2">
        <f t="shared" si="37"/>
        <v>370950.46291268669</v>
      </c>
      <c r="P74" s="2">
        <f t="shared" si="37"/>
        <v>419385.93343630782</v>
      </c>
      <c r="Q74" s="2">
        <f t="shared" si="37"/>
        <v>448449.34754723817</v>
      </c>
      <c r="R74" s="2">
        <f t="shared" si="37"/>
        <v>467095.21581439738</v>
      </c>
      <c r="S74" s="2">
        <f t="shared" si="37"/>
        <v>536076.57389474241</v>
      </c>
      <c r="T74" s="2">
        <f t="shared" si="37"/>
        <v>693548.71611314022</v>
      </c>
      <c r="U74" s="2">
        <f t="shared" si="37"/>
        <v>874812.0450905523</v>
      </c>
      <c r="V74" s="2">
        <f t="shared" si="37"/>
        <v>852344.93382491462</v>
      </c>
      <c r="W74" s="2">
        <f t="shared" si="37"/>
        <v>798840.9788363605</v>
      </c>
      <c r="X74" s="2">
        <f t="shared" si="37"/>
        <v>677772.96519243682</v>
      </c>
      <c r="Y74" s="2">
        <f t="shared" si="37"/>
        <v>758433.57175032829</v>
      </c>
      <c r="Z74" s="2">
        <f t="shared" si="37"/>
        <v>754902.6725000001</v>
      </c>
      <c r="AA74" s="2">
        <f t="shared" si="37"/>
        <v>731968.32</v>
      </c>
      <c r="AB74" s="2">
        <f t="shared" si="37"/>
        <v>795129.4</v>
      </c>
      <c r="AC74" s="2">
        <f t="shared" si="37"/>
        <v>861303.74049999996</v>
      </c>
      <c r="AD74" s="2">
        <f t="shared" si="37"/>
        <v>959963.99199999997</v>
      </c>
      <c r="AE74" s="2">
        <f t="shared" si="37"/>
        <v>1022237.97</v>
      </c>
      <c r="AF74" s="2">
        <f t="shared" si="37"/>
        <v>1120926.4415</v>
      </c>
      <c r="AG74" s="2">
        <f t="shared" si="37"/>
        <v>1216028.6965000001</v>
      </c>
      <c r="AH74" s="2">
        <f t="shared" si="37"/>
        <v>1262425.2915000001</v>
      </c>
      <c r="AI74" s="2">
        <f t="shared" si="37"/>
        <v>1370011.284</v>
      </c>
      <c r="AJ74" s="2">
        <f t="shared" si="37"/>
        <v>1679377.24</v>
      </c>
      <c r="AK74" s="2">
        <f t="shared" si="37"/>
        <v>1734714.21</v>
      </c>
      <c r="AL74" s="2">
        <f t="shared" si="37"/>
        <v>1655817.9439999999</v>
      </c>
      <c r="AM74" s="2">
        <f t="shared" si="37"/>
        <v>1843832.246</v>
      </c>
    </row>
    <row r="75" spans="1:40" ht="17" customHeight="1" x14ac:dyDescent="0.15">
      <c r="A75" s="6" t="s">
        <v>47</v>
      </c>
      <c r="B75" s="2" t="s">
        <v>87</v>
      </c>
      <c r="C75" s="2" t="s">
        <v>50</v>
      </c>
      <c r="D75" s="2" t="s">
        <v>95</v>
      </c>
      <c r="G75" s="2">
        <f t="shared" ref="G75:AM75" si="38">G70*G17/(10^6)</f>
        <v>698582.21692208061</v>
      </c>
      <c r="H75" s="2">
        <f t="shared" si="38"/>
        <v>722998.05410798406</v>
      </c>
      <c r="I75" s="2">
        <f t="shared" si="38"/>
        <v>772915.2304212217</v>
      </c>
      <c r="J75" s="2">
        <f t="shared" si="38"/>
        <v>819778.60281454632</v>
      </c>
      <c r="K75" s="2">
        <f t="shared" si="38"/>
        <v>921949.55830016744</v>
      </c>
      <c r="L75" s="2">
        <f t="shared" si="38"/>
        <v>1027912.8743670101</v>
      </c>
      <c r="M75" s="2">
        <f t="shared" si="38"/>
        <v>1127871.4610272185</v>
      </c>
      <c r="N75" s="2">
        <f t="shared" si="38"/>
        <v>1228970.23376022</v>
      </c>
      <c r="O75" s="2">
        <f t="shared" si="38"/>
        <v>1302958.212687985</v>
      </c>
      <c r="P75" s="2">
        <f t="shared" si="38"/>
        <v>1372946.8328963006</v>
      </c>
      <c r="Q75" s="2">
        <f t="shared" si="38"/>
        <v>1429540.0201757243</v>
      </c>
      <c r="R75" s="2">
        <f t="shared" si="38"/>
        <v>1497301.1210204887</v>
      </c>
      <c r="S75" s="2">
        <f t="shared" si="38"/>
        <v>1635131.1885605138</v>
      </c>
      <c r="T75" s="2">
        <f t="shared" si="38"/>
        <v>1892565.5550846099</v>
      </c>
      <c r="U75" s="2">
        <f t="shared" si="38"/>
        <v>2320822.3372367606</v>
      </c>
      <c r="V75" s="2">
        <f t="shared" si="38"/>
        <v>2510761.9965182939</v>
      </c>
      <c r="W75" s="2">
        <f t="shared" si="38"/>
        <v>2496049.9096047529</v>
      </c>
      <c r="X75" s="2">
        <f t="shared" si="38"/>
        <v>2290053.7875687401</v>
      </c>
      <c r="Y75" s="2">
        <f t="shared" si="38"/>
        <v>2326087.4847582821</v>
      </c>
      <c r="Z75" s="2">
        <f t="shared" si="38"/>
        <v>2246415.8680357141</v>
      </c>
      <c r="AA75" s="2">
        <f t="shared" si="38"/>
        <v>2162733.8049999997</v>
      </c>
      <c r="AB75" s="2">
        <f t="shared" si="38"/>
        <v>2176115.0914285714</v>
      </c>
      <c r="AC75" s="2">
        <f t="shared" si="38"/>
        <v>2199288.1452857144</v>
      </c>
      <c r="AD75" s="2">
        <f t="shared" si="38"/>
        <v>2337852.3105000001</v>
      </c>
      <c r="AE75" s="2">
        <f t="shared" si="38"/>
        <v>2425266.48</v>
      </c>
      <c r="AF75" s="2">
        <f t="shared" si="38"/>
        <v>2538242.3605</v>
      </c>
      <c r="AG75" s="2">
        <f t="shared" si="38"/>
        <v>2670500.2363571427</v>
      </c>
      <c r="AH75" s="2">
        <f t="shared" si="38"/>
        <v>2769931.5803571427</v>
      </c>
      <c r="AI75" s="2">
        <f t="shared" si="38"/>
        <v>2894898.2282142858</v>
      </c>
      <c r="AJ75" s="2">
        <f t="shared" si="38"/>
        <v>3197537.6095714285</v>
      </c>
      <c r="AK75" s="2">
        <f t="shared" si="38"/>
        <v>3263184.0959999999</v>
      </c>
      <c r="AL75" s="2">
        <f t="shared" si="38"/>
        <v>3223569.3069285713</v>
      </c>
      <c r="AM75" s="2">
        <f t="shared" si="38"/>
        <v>3387322.9275000002</v>
      </c>
    </row>
    <row r="76" spans="1:40" ht="17" customHeight="1" x14ac:dyDescent="0.15">
      <c r="A76" s="6" t="s">
        <v>48</v>
      </c>
      <c r="B76" s="2" t="s">
        <v>87</v>
      </c>
      <c r="C76" s="2" t="s">
        <v>50</v>
      </c>
      <c r="D76" s="2" t="s">
        <v>95</v>
      </c>
      <c r="G76" s="2">
        <f t="shared" ref="G76:AM76" si="39">G71*G18/(10^6)</f>
        <v>3352601.9426773153</v>
      </c>
      <c r="H76" s="2">
        <f t="shared" si="39"/>
        <v>3450556.5747157675</v>
      </c>
      <c r="I76" s="2">
        <f t="shared" si="39"/>
        <v>3705682.8621422863</v>
      </c>
      <c r="J76" s="2">
        <f t="shared" si="39"/>
        <v>3946413.9990020646</v>
      </c>
      <c r="K76" s="2">
        <f t="shared" si="39"/>
        <v>4296915.3295216514</v>
      </c>
      <c r="L76" s="2">
        <f t="shared" si="39"/>
        <v>4823901.5034825504</v>
      </c>
      <c r="M76" s="2">
        <f t="shared" si="39"/>
        <v>5307603.9456313401</v>
      </c>
      <c r="N76" s="2">
        <f t="shared" si="39"/>
        <v>5820390.8409516541</v>
      </c>
      <c r="O76" s="2">
        <f t="shared" si="39"/>
        <v>6209182.1189287268</v>
      </c>
      <c r="P76" s="2">
        <f t="shared" si="39"/>
        <v>6612588.4760439247</v>
      </c>
      <c r="Q76" s="2">
        <f t="shared" si="39"/>
        <v>6968825.7115261825</v>
      </c>
      <c r="R76" s="2">
        <f t="shared" si="39"/>
        <v>7315442.4184962623</v>
      </c>
      <c r="S76" s="2">
        <f t="shared" si="39"/>
        <v>8056302.839320953</v>
      </c>
      <c r="T76" s="2">
        <f t="shared" si="39"/>
        <v>9593573.2209498882</v>
      </c>
      <c r="U76" s="2">
        <f t="shared" si="39"/>
        <v>11963806.213393649</v>
      </c>
      <c r="V76" s="2">
        <f t="shared" si="39"/>
        <v>3689818.8059607185</v>
      </c>
      <c r="W76" s="2">
        <f t="shared" si="39"/>
        <v>3529073.3554617739</v>
      </c>
      <c r="X76" s="2">
        <f t="shared" si="39"/>
        <v>3289671.4487775834</v>
      </c>
      <c r="Y76" s="2">
        <f t="shared" si="39"/>
        <v>3276039.4635678949</v>
      </c>
      <c r="Z76" s="2">
        <f t="shared" si="39"/>
        <v>3150753.3009000001</v>
      </c>
      <c r="AA76" s="2">
        <f t="shared" si="39"/>
        <v>3007850.857175</v>
      </c>
      <c r="AB76" s="2">
        <f t="shared" si="39"/>
        <v>3055367.8249499998</v>
      </c>
      <c r="AC76" s="2">
        <f t="shared" si="39"/>
        <v>3129866.0414999998</v>
      </c>
      <c r="AD76" s="2">
        <f t="shared" si="39"/>
        <v>3356169.140625</v>
      </c>
      <c r="AE76" s="2">
        <f t="shared" si="39"/>
        <v>3524003.16775</v>
      </c>
      <c r="AF76" s="2">
        <f t="shared" si="39"/>
        <v>3709683.7312500002</v>
      </c>
      <c r="AG76" s="2">
        <f t="shared" si="39"/>
        <v>3910293.3727500001</v>
      </c>
      <c r="AH76" s="2">
        <f t="shared" si="39"/>
        <v>4062392.9427499999</v>
      </c>
      <c r="AI76" s="2">
        <f t="shared" si="39"/>
        <v>4292396.2171999998</v>
      </c>
      <c r="AJ76" s="2">
        <f t="shared" si="39"/>
        <v>4904873.3792000003</v>
      </c>
      <c r="AK76" s="2">
        <f t="shared" si="39"/>
        <v>5018451.3735750001</v>
      </c>
      <c r="AL76" s="2">
        <f t="shared" si="39"/>
        <v>4922437.6418500002</v>
      </c>
      <c r="AM76" s="2">
        <f t="shared" si="39"/>
        <v>5203057.3579500001</v>
      </c>
    </row>
    <row r="78" spans="1:40" x14ac:dyDescent="0.15">
      <c r="A78" s="15" t="s">
        <v>71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spans="1:40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spans="1:40" x14ac:dyDescent="0.15">
      <c r="A80" s="8" t="s">
        <v>55</v>
      </c>
      <c r="E80" s="4">
        <v>1990</v>
      </c>
      <c r="F80" s="4">
        <f>1+E80</f>
        <v>1991</v>
      </c>
      <c r="G80" s="4">
        <f t="shared" ref="G80:R80" si="40">1+F80</f>
        <v>1992</v>
      </c>
      <c r="H80" s="4">
        <f t="shared" si="40"/>
        <v>1993</v>
      </c>
      <c r="I80" s="4">
        <f t="shared" si="40"/>
        <v>1994</v>
      </c>
      <c r="J80" s="4">
        <f t="shared" si="40"/>
        <v>1995</v>
      </c>
      <c r="K80" s="4">
        <f t="shared" si="40"/>
        <v>1996</v>
      </c>
      <c r="L80" s="4">
        <f t="shared" si="40"/>
        <v>1997</v>
      </c>
      <c r="M80" s="4">
        <f t="shared" si="40"/>
        <v>1998</v>
      </c>
      <c r="N80" s="4">
        <f t="shared" si="40"/>
        <v>1999</v>
      </c>
      <c r="O80" s="4">
        <f t="shared" si="40"/>
        <v>2000</v>
      </c>
      <c r="P80" s="4">
        <f t="shared" si="40"/>
        <v>2001</v>
      </c>
      <c r="Q80" s="4">
        <f t="shared" si="40"/>
        <v>2002</v>
      </c>
      <c r="R80" s="4">
        <f t="shared" si="40"/>
        <v>2003</v>
      </c>
      <c r="S80" s="4" t="s">
        <v>0</v>
      </c>
      <c r="T80" s="4" t="s">
        <v>1</v>
      </c>
      <c r="U80" s="4" t="s">
        <v>2</v>
      </c>
      <c r="V80" s="4" t="s">
        <v>3</v>
      </c>
      <c r="W80" s="4" t="s">
        <v>4</v>
      </c>
      <c r="X80" s="4" t="s">
        <v>5</v>
      </c>
      <c r="Y80" s="4" t="s">
        <v>6</v>
      </c>
      <c r="Z80" s="4" t="s">
        <v>7</v>
      </c>
      <c r="AA80" s="4" t="s">
        <v>8</v>
      </c>
      <c r="AB80" s="4" t="s">
        <v>9</v>
      </c>
      <c r="AC80" s="4" t="s">
        <v>10</v>
      </c>
      <c r="AD80" s="4" t="s">
        <v>11</v>
      </c>
      <c r="AE80" s="4" t="s">
        <v>12</v>
      </c>
      <c r="AF80" s="4" t="s">
        <v>13</v>
      </c>
      <c r="AG80" s="4" t="s">
        <v>14</v>
      </c>
      <c r="AH80" s="4" t="s">
        <v>15</v>
      </c>
      <c r="AI80" s="4" t="s">
        <v>16</v>
      </c>
      <c r="AJ80" s="4" t="s">
        <v>17</v>
      </c>
      <c r="AK80" s="4" t="s">
        <v>18</v>
      </c>
      <c r="AL80" s="4" t="s">
        <v>19</v>
      </c>
      <c r="AM80" s="4" t="s">
        <v>20</v>
      </c>
      <c r="AN80" s="4">
        <v>2025</v>
      </c>
    </row>
    <row r="81" spans="1:39" x14ac:dyDescent="0.15">
      <c r="A81" s="2" t="s">
        <v>56</v>
      </c>
      <c r="S81" s="10">
        <f>S7/(S8*10^3)</f>
        <v>1.7545671325428893</v>
      </c>
      <c r="T81" s="10">
        <f t="shared" ref="T81:AM81" si="41">T7/(T8*10^3)</f>
        <v>1.9788887491352745</v>
      </c>
      <c r="U81" s="10">
        <f t="shared" si="41"/>
        <v>2.3292333254213151</v>
      </c>
      <c r="V81" s="10">
        <f t="shared" si="41"/>
        <v>2.3653462222477195</v>
      </c>
      <c r="W81" s="10">
        <f t="shared" si="41"/>
        <v>2.1961010112173289</v>
      </c>
      <c r="X81" s="10">
        <f t="shared" si="41"/>
        <v>2.0880410523272621</v>
      </c>
      <c r="Y81" s="10">
        <f t="shared" si="41"/>
        <v>2.0397076507253571</v>
      </c>
      <c r="Z81" s="10">
        <f t="shared" si="41"/>
        <v>1.9202017852312685</v>
      </c>
      <c r="AA81" s="10">
        <f t="shared" si="41"/>
        <v>1.8664044587669713</v>
      </c>
      <c r="AB81" s="10">
        <f t="shared" si="41"/>
        <v>1.8395944410002067</v>
      </c>
      <c r="AC81" s="10">
        <f t="shared" si="41"/>
        <v>1.8370600414078675</v>
      </c>
      <c r="AD81" s="10">
        <f t="shared" si="41"/>
        <v>1.8887661314156241</v>
      </c>
      <c r="AE81" s="10">
        <f t="shared" si="41"/>
        <v>1.8805296216987866</v>
      </c>
      <c r="AF81" s="10">
        <f t="shared" si="41"/>
        <v>1.8745414687614177</v>
      </c>
      <c r="AG81" s="10">
        <f t="shared" si="41"/>
        <v>1.8901484287942947</v>
      </c>
      <c r="AH81" s="10">
        <f t="shared" si="41"/>
        <v>1.8771145164090988</v>
      </c>
      <c r="AI81" s="10">
        <f t="shared" si="41"/>
        <v>1.922308089056993</v>
      </c>
      <c r="AJ81" s="10">
        <f t="shared" si="41"/>
        <v>1.8563513883993263</v>
      </c>
      <c r="AK81" s="10">
        <f t="shared" si="41"/>
        <v>1.62022957651962</v>
      </c>
      <c r="AL81" s="10">
        <f t="shared" si="41"/>
        <v>1.7178177122565372</v>
      </c>
      <c r="AM81" s="10">
        <f t="shared" si="41"/>
        <v>1.7010318083979636</v>
      </c>
    </row>
    <row r="82" spans="1:39" x14ac:dyDescent="0.15">
      <c r="A82" s="2" t="s">
        <v>57</v>
      </c>
      <c r="B82" s="2" t="s">
        <v>72</v>
      </c>
      <c r="E82" s="10">
        <f>E12/(E9*1000)</f>
        <v>3.7351200222006384</v>
      </c>
      <c r="F82" s="10">
        <f t="shared" ref="F82:AM82" si="42">F12/(F9*1000)</f>
        <v>3.7341493435448578</v>
      </c>
      <c r="G82" s="10">
        <f t="shared" si="42"/>
        <v>3.6975375335120644</v>
      </c>
      <c r="H82" s="10">
        <f t="shared" si="42"/>
        <v>3.7273148645022807</v>
      </c>
      <c r="I82" s="10">
        <f t="shared" si="42"/>
        <v>3.5524463273236924</v>
      </c>
      <c r="J82" s="10">
        <f t="shared" si="42"/>
        <v>3.466458513663905</v>
      </c>
      <c r="K82" s="10">
        <f t="shared" si="42"/>
        <v>3.4001514150093133</v>
      </c>
      <c r="L82" s="10">
        <f t="shared" si="42"/>
        <v>3.3303925451368666</v>
      </c>
      <c r="M82" s="10">
        <f t="shared" si="42"/>
        <v>3.2995497751721783</v>
      </c>
      <c r="N82" s="10">
        <f t="shared" si="42"/>
        <v>3.2553905256757503</v>
      </c>
      <c r="O82" s="10">
        <f t="shared" si="42"/>
        <v>3.1772484544873163</v>
      </c>
      <c r="P82" s="10">
        <f t="shared" si="42"/>
        <v>3.2017293987224833</v>
      </c>
      <c r="Q82" s="10">
        <f t="shared" si="42"/>
        <v>3.2347264701245466</v>
      </c>
      <c r="R82" s="10">
        <f t="shared" si="42"/>
        <v>3.2577010411761629</v>
      </c>
      <c r="S82" s="10">
        <f t="shared" si="42"/>
        <v>3.2030345143555286</v>
      </c>
      <c r="T82" s="10">
        <f t="shared" si="42"/>
        <v>3.1638906848361268</v>
      </c>
      <c r="U82" s="10">
        <f t="shared" si="42"/>
        <v>3.0896019161676649</v>
      </c>
      <c r="V82" s="10">
        <f t="shared" si="42"/>
        <v>3.126614486978796</v>
      </c>
      <c r="W82" s="10">
        <f t="shared" si="42"/>
        <v>3.2041732958605249</v>
      </c>
      <c r="X82" s="10">
        <f t="shared" si="42"/>
        <v>3.423189793463004</v>
      </c>
      <c r="Y82" s="10">
        <f t="shared" si="42"/>
        <v>3.3905907027240425</v>
      </c>
      <c r="Z82" s="10">
        <f t="shared" si="42"/>
        <v>3.34991475888943</v>
      </c>
      <c r="AA82" s="10">
        <f t="shared" si="42"/>
        <v>3.3553119976618442</v>
      </c>
      <c r="AB82" s="10">
        <f t="shared" si="42"/>
        <v>3.322157098246457</v>
      </c>
      <c r="AC82" s="10">
        <f t="shared" si="42"/>
        <v>3.2967136283857501</v>
      </c>
      <c r="AD82" s="10">
        <f t="shared" si="42"/>
        <v>3.2543569968407358</v>
      </c>
      <c r="AE82" s="10">
        <f t="shared" si="42"/>
        <v>3.1893820427296493</v>
      </c>
      <c r="AF82" s="10">
        <f t="shared" si="42"/>
        <v>3.1386892057382787</v>
      </c>
      <c r="AG82" s="10">
        <f t="shared" si="42"/>
        <v>3.130292842114303</v>
      </c>
      <c r="AH82" s="10">
        <f t="shared" si="42"/>
        <v>3.1288682033096928</v>
      </c>
      <c r="AI82" s="10">
        <f t="shared" si="42"/>
        <v>3.2288571305768072</v>
      </c>
      <c r="AJ82" s="10">
        <f t="shared" si="42"/>
        <v>3.076458148357414</v>
      </c>
      <c r="AK82" s="10">
        <f t="shared" si="42"/>
        <v>3.1287170523947285</v>
      </c>
      <c r="AL82" s="10">
        <f t="shared" si="42"/>
        <v>3.1840824314070049</v>
      </c>
      <c r="AM82" s="10">
        <f t="shared" si="42"/>
        <v>3.1311381705905057</v>
      </c>
    </row>
    <row r="83" spans="1:39" x14ac:dyDescent="0.15">
      <c r="A83" s="2" t="s">
        <v>58</v>
      </c>
      <c r="G83" s="10">
        <f>H83*(G85/$S85)</f>
        <v>1.9230952735569365E-2</v>
      </c>
      <c r="H83" s="10">
        <f t="shared" ref="H83:Q83" si="43">I83*(H85/$S85)</f>
        <v>3.2164553173241114E-2</v>
      </c>
      <c r="I83" s="10">
        <f t="shared" si="43"/>
        <v>5.3548661650573412E-2</v>
      </c>
      <c r="J83" s="10">
        <f t="shared" si="43"/>
        <v>8.8548275081133554E-2</v>
      </c>
      <c r="K83" s="10">
        <f t="shared" si="43"/>
        <v>0.14229885064329623</v>
      </c>
      <c r="L83" s="10">
        <f t="shared" si="43"/>
        <v>0.21800840797086982</v>
      </c>
      <c r="M83" s="10">
        <f t="shared" si="43"/>
        <v>0.30600990207617612</v>
      </c>
      <c r="N83" s="10">
        <f t="shared" si="43"/>
        <v>0.39683971965310161</v>
      </c>
      <c r="O83" s="10">
        <f t="shared" si="43"/>
        <v>0.48484674261313843</v>
      </c>
      <c r="P83" s="10">
        <f t="shared" si="43"/>
        <v>0.58644463524857293</v>
      </c>
      <c r="Q83" s="10">
        <f t="shared" si="43"/>
        <v>0.67224109925008002</v>
      </c>
      <c r="R83" s="10">
        <f>S83*(R85/$S85)</f>
        <v>0.73971885337267607</v>
      </c>
      <c r="S83" s="10">
        <f>S73/(S8*10^3)</f>
        <v>0.79158414070656813</v>
      </c>
      <c r="T83" s="10">
        <f t="shared" ref="T83:AM83" si="44">T73/(T8*10^3)</f>
        <v>0.95187204454452556</v>
      </c>
      <c r="U83" s="10">
        <f t="shared" si="44"/>
        <v>1.1455197031698883</v>
      </c>
      <c r="V83" s="10">
        <f t="shared" si="44"/>
        <v>1.0926769265233247</v>
      </c>
      <c r="W83" s="10">
        <f t="shared" si="44"/>
        <v>0.94730590109460711</v>
      </c>
      <c r="X83" s="10">
        <f t="shared" si="44"/>
        <v>0.84418706086161688</v>
      </c>
      <c r="Y83" s="10">
        <f t="shared" si="44"/>
        <v>0.88449052375077308</v>
      </c>
      <c r="Z83" s="10">
        <f t="shared" si="44"/>
        <v>0.84786703489315662</v>
      </c>
      <c r="AA83" s="10">
        <f t="shared" si="44"/>
        <v>0.79003450882244175</v>
      </c>
      <c r="AB83" s="10">
        <f t="shared" si="44"/>
        <v>0.8075445320572433</v>
      </c>
      <c r="AC83" s="10">
        <f t="shared" si="44"/>
        <v>0.83268081401807814</v>
      </c>
      <c r="AD83" s="10">
        <f t="shared" si="44"/>
        <v>0.89071730925524584</v>
      </c>
      <c r="AE83" s="10">
        <f t="shared" si="44"/>
        <v>0.91572335593623611</v>
      </c>
      <c r="AF83" s="10">
        <f t="shared" si="44"/>
        <v>0.93996996654640119</v>
      </c>
      <c r="AG83" s="10">
        <f t="shared" si="44"/>
        <v>0.97366117361265869</v>
      </c>
      <c r="AH83" s="10">
        <f t="shared" si="44"/>
        <v>0.98936389238583089</v>
      </c>
      <c r="AI83" s="10">
        <f t="shared" si="44"/>
        <v>1.0522361127826012</v>
      </c>
      <c r="AJ83" s="10">
        <f t="shared" si="44"/>
        <v>1.1450092811263854</v>
      </c>
      <c r="AK83" s="10">
        <f t="shared" si="44"/>
        <v>1.0639453457775581</v>
      </c>
      <c r="AL83" s="10">
        <f t="shared" si="44"/>
        <v>1.0461350027798701</v>
      </c>
      <c r="AM83" s="10">
        <f t="shared" si="44"/>
        <v>1.0774063074413203</v>
      </c>
    </row>
    <row r="84" spans="1:39" x14ac:dyDescent="0.15">
      <c r="A84" s="2" t="s">
        <v>59</v>
      </c>
      <c r="G84" s="10">
        <f t="shared" ref="G84:Q84" si="45">H84*(G86/$S86)</f>
        <v>0.11238129624142701</v>
      </c>
      <c r="H84" s="10">
        <f t="shared" si="45"/>
        <v>0.16087230848380443</v>
      </c>
      <c r="I84" s="10">
        <f t="shared" si="45"/>
        <v>0.22361827218075231</v>
      </c>
      <c r="J84" s="10">
        <f t="shared" si="45"/>
        <v>0.31097403241657229</v>
      </c>
      <c r="K84" s="10">
        <f t="shared" si="45"/>
        <v>0.42548233678074493</v>
      </c>
      <c r="L84" s="10">
        <f t="shared" si="45"/>
        <v>0.54338271353816892</v>
      </c>
      <c r="M84" s="10">
        <f t="shared" si="45"/>
        <v>0.655108754972482</v>
      </c>
      <c r="N84" s="10">
        <f t="shared" si="45"/>
        <v>0.74560255213506665</v>
      </c>
      <c r="O84" s="10">
        <f t="shared" si="45"/>
        <v>0.81545453163035353</v>
      </c>
      <c r="P84" s="10">
        <f t="shared" si="45"/>
        <v>0.89882415323274756</v>
      </c>
      <c r="Q84" s="10">
        <f t="shared" si="45"/>
        <v>0.97304298349383012</v>
      </c>
      <c r="R84" s="10">
        <f>S84*(R86/$S86)</f>
        <v>1.0405873382587316</v>
      </c>
      <c r="S84" s="10">
        <f>S75/(S8*10^3)</f>
        <v>1.0830835189511252</v>
      </c>
      <c r="T84" s="10">
        <f t="shared" ref="T84:AM84" si="46">T75/(T8*10^3)</f>
        <v>1.1902179454654487</v>
      </c>
      <c r="U84" s="10">
        <f t="shared" si="46"/>
        <v>1.3771791699719682</v>
      </c>
      <c r="V84" s="10">
        <f t="shared" si="46"/>
        <v>1.440400434007397</v>
      </c>
      <c r="W84" s="10">
        <f t="shared" si="46"/>
        <v>1.3792617061417654</v>
      </c>
      <c r="X84" s="10">
        <f t="shared" si="46"/>
        <v>1.3241132047231801</v>
      </c>
      <c r="Y84" s="10">
        <f t="shared" si="46"/>
        <v>1.283075450801634</v>
      </c>
      <c r="Z84" s="10">
        <f t="shared" si="46"/>
        <v>1.2152641969357394</v>
      </c>
      <c r="AA84" s="10">
        <f t="shared" si="46"/>
        <v>1.142550480743832</v>
      </c>
      <c r="AB84" s="10">
        <f t="shared" si="46"/>
        <v>1.1242586750509256</v>
      </c>
      <c r="AC84" s="10">
        <f t="shared" si="46"/>
        <v>1.110583318328392</v>
      </c>
      <c r="AD84" s="10">
        <f t="shared" si="46"/>
        <v>1.1515379324697075</v>
      </c>
      <c r="AE84" s="10">
        <f t="shared" si="46"/>
        <v>1.1540644682369736</v>
      </c>
      <c r="AF84" s="10">
        <f t="shared" si="46"/>
        <v>1.1592265073529411</v>
      </c>
      <c r="AG84" s="10">
        <f t="shared" si="46"/>
        <v>1.1903277184564933</v>
      </c>
      <c r="AH84" s="10">
        <f t="shared" si="46"/>
        <v>1.2024360046697096</v>
      </c>
      <c r="AI84" s="10">
        <f t="shared" si="46"/>
        <v>1.2442612517038967</v>
      </c>
      <c r="AJ84" s="10">
        <f t="shared" si="46"/>
        <v>1.2523156736660119</v>
      </c>
      <c r="AK84" s="10">
        <f t="shared" si="46"/>
        <v>1.1525391502136828</v>
      </c>
      <c r="AL84" s="10">
        <f t="shared" si="46"/>
        <v>1.1562714971586396</v>
      </c>
      <c r="AM84" s="10">
        <f t="shared" si="46"/>
        <v>1.1573073653011721</v>
      </c>
    </row>
    <row r="85" spans="1:39" x14ac:dyDescent="0.15">
      <c r="G85" s="13">
        <f>G68*G15/(G8*10^9)</f>
        <v>0.47328240856206916</v>
      </c>
      <c r="H85" s="13">
        <f t="shared" ref="H85:R85" si="47">H68*H15/(H8*10^9)</f>
        <v>0.47547313789079804</v>
      </c>
      <c r="I85" s="13">
        <f t="shared" si="47"/>
        <v>0.47870239459568337</v>
      </c>
      <c r="J85" s="13">
        <f t="shared" si="47"/>
        <v>0.49257889241040087</v>
      </c>
      <c r="K85" s="13">
        <f t="shared" si="47"/>
        <v>0.51668426212743601</v>
      </c>
      <c r="L85" s="13">
        <f t="shared" si="47"/>
        <v>0.56394252970111058</v>
      </c>
      <c r="M85" s="13">
        <f t="shared" si="47"/>
        <v>0.61040408352878361</v>
      </c>
      <c r="N85" s="13">
        <f t="shared" si="47"/>
        <v>0.64789963687656094</v>
      </c>
      <c r="O85" s="13">
        <f t="shared" si="47"/>
        <v>0.65444710217721047</v>
      </c>
      <c r="P85" s="13">
        <f t="shared" si="47"/>
        <v>0.69055622035469155</v>
      </c>
      <c r="Q85" s="13">
        <f t="shared" si="47"/>
        <v>0.71937519298216324</v>
      </c>
      <c r="R85" s="13">
        <f t="shared" si="47"/>
        <v>0.73971885337267596</v>
      </c>
      <c r="S85" s="13">
        <f>S68*S15/(S8*10^9)</f>
        <v>0.79158414070656802</v>
      </c>
    </row>
    <row r="86" spans="1:39" x14ac:dyDescent="0.15">
      <c r="A86" s="8" t="s">
        <v>60</v>
      </c>
      <c r="G86" s="13">
        <f>G70*G17/(G8*10^9)</f>
        <v>0.7566145531485764</v>
      </c>
      <c r="H86" s="13">
        <f t="shared" ref="H86:S86" si="48">H70*H17/(H8*10^9)</f>
        <v>0.77917669372559972</v>
      </c>
      <c r="I86" s="13">
        <f t="shared" si="48"/>
        <v>0.77883437164572922</v>
      </c>
      <c r="J86" s="13">
        <f t="shared" si="48"/>
        <v>0.79159772384564153</v>
      </c>
      <c r="K86" s="13">
        <f t="shared" si="48"/>
        <v>0.84808164685876886</v>
      </c>
      <c r="L86" s="13">
        <f t="shared" si="48"/>
        <v>0.89836818245674721</v>
      </c>
      <c r="M86" s="13">
        <f t="shared" si="48"/>
        <v>0.95162964987109222</v>
      </c>
      <c r="N86" s="13">
        <f t="shared" si="48"/>
        <v>0.9903063930380499</v>
      </c>
      <c r="O86" s="13">
        <f t="shared" si="48"/>
        <v>0.98262308649169317</v>
      </c>
      <c r="P86" s="13">
        <f t="shared" si="48"/>
        <v>1.0004713494835682</v>
      </c>
      <c r="Q86" s="13">
        <f t="shared" si="48"/>
        <v>1.012780744013974</v>
      </c>
      <c r="R86" s="13">
        <f t="shared" si="48"/>
        <v>1.0405873382587316</v>
      </c>
      <c r="S86" s="13">
        <f t="shared" si="48"/>
        <v>1.0830835189511252</v>
      </c>
    </row>
    <row r="87" spans="1:39" ht="16" x14ac:dyDescent="0.2">
      <c r="A87" t="s">
        <v>90</v>
      </c>
      <c r="B87" s="2" t="s">
        <v>93</v>
      </c>
      <c r="D87" s="2">
        <f>23/3.7</f>
        <v>6.2162162162162158</v>
      </c>
      <c r="E87" s="10">
        <v>0.1953</v>
      </c>
      <c r="F87" s="10">
        <v>0.20710000000000001</v>
      </c>
      <c r="G87" s="10">
        <v>0.19420000000000001</v>
      </c>
      <c r="H87" s="10">
        <v>0.21279999999999999</v>
      </c>
      <c r="I87" s="10">
        <v>0.20219999999999999</v>
      </c>
      <c r="J87" s="10">
        <v>0.1968</v>
      </c>
      <c r="K87" s="10">
        <v>0.20080000000000001</v>
      </c>
      <c r="L87" s="10">
        <v>0.22359999999999999</v>
      </c>
      <c r="M87" s="10">
        <v>0.22500000000000001</v>
      </c>
      <c r="N87" s="10">
        <v>0.24079999999999999</v>
      </c>
      <c r="O87" s="10">
        <v>0.23080000000000001</v>
      </c>
      <c r="P87" s="10">
        <v>0.19359999999999999</v>
      </c>
      <c r="Q87" s="10">
        <v>0.1794</v>
      </c>
      <c r="R87" s="10">
        <v>0.1762</v>
      </c>
      <c r="S87" s="10">
        <v>0.1908</v>
      </c>
      <c r="T87" s="10">
        <v>0.21529999999999999</v>
      </c>
      <c r="U87" s="10">
        <v>0.21579999999999999</v>
      </c>
      <c r="V87" s="10">
        <v>0.2102</v>
      </c>
      <c r="W87" s="10">
        <v>0.17449999999999999</v>
      </c>
      <c r="X87" s="10">
        <v>0.19109999999999999</v>
      </c>
      <c r="Y87" s="10">
        <v>0.20630000000000001</v>
      </c>
      <c r="Z87" s="10">
        <v>0.191</v>
      </c>
      <c r="AA87" s="10">
        <v>0.1953</v>
      </c>
      <c r="AB87" s="10">
        <v>0.20319999999999999</v>
      </c>
      <c r="AC87" s="10">
        <v>0.20960000000000001</v>
      </c>
      <c r="AD87" s="10">
        <v>0.20649999999999999</v>
      </c>
      <c r="AE87" s="10">
        <v>0.20830000000000001</v>
      </c>
      <c r="AF87" s="10">
        <v>0.21340000000000001</v>
      </c>
      <c r="AG87" s="10">
        <v>0.2152</v>
      </c>
      <c r="AH87" s="10">
        <v>0.2107</v>
      </c>
      <c r="AI87" s="10">
        <v>0.2107</v>
      </c>
      <c r="AJ87" s="10">
        <v>0.21609999999999999</v>
      </c>
      <c r="AK87" s="10">
        <v>0.2147</v>
      </c>
      <c r="AL87" s="10">
        <v>0.20549999999999999</v>
      </c>
      <c r="AM87" s="10">
        <v>0.20760000000000001</v>
      </c>
    </row>
    <row r="88" spans="1:39" ht="16" x14ac:dyDescent="0.2">
      <c r="A88" t="s">
        <v>91</v>
      </c>
      <c r="B88" s="2" t="s">
        <v>93</v>
      </c>
      <c r="E88" s="10">
        <v>0.5323</v>
      </c>
      <c r="F88" s="10">
        <v>0.54069999999999996</v>
      </c>
      <c r="G88" s="10">
        <v>0.54330000000000001</v>
      </c>
      <c r="H88" s="10">
        <v>0.54649999999999999</v>
      </c>
      <c r="I88" s="10">
        <v>0.5333</v>
      </c>
      <c r="J88" s="10">
        <v>0.52259999999999995</v>
      </c>
      <c r="K88" s="10">
        <v>0.52569999999999995</v>
      </c>
      <c r="L88" s="10">
        <v>0.55089999999999995</v>
      </c>
      <c r="M88" s="10">
        <v>0.55049999999999999</v>
      </c>
      <c r="N88" s="10">
        <v>0.55630000000000002</v>
      </c>
      <c r="O88" s="10">
        <v>0.54249999999999998</v>
      </c>
      <c r="P88" s="10">
        <v>0.51970000000000005</v>
      </c>
      <c r="Q88" s="10">
        <v>0.51259999999999994</v>
      </c>
      <c r="R88" s="10">
        <v>0.50629999999999997</v>
      </c>
      <c r="S88" s="10">
        <v>0.50980000000000003</v>
      </c>
      <c r="T88" s="10">
        <v>0.51649999999999996</v>
      </c>
      <c r="U88" s="10">
        <v>0.51180000000000003</v>
      </c>
      <c r="V88" s="10">
        <v>0.5111</v>
      </c>
      <c r="W88" s="10">
        <v>0.48909999999999998</v>
      </c>
      <c r="X88" s="10">
        <v>0.50919999999999999</v>
      </c>
      <c r="Y88" s="10">
        <v>0.51070000000000004</v>
      </c>
      <c r="Z88" s="10">
        <v>0.50060000000000004</v>
      </c>
      <c r="AA88" s="10">
        <v>0.49380000000000002</v>
      </c>
      <c r="AB88" s="10">
        <v>0.49959999999999999</v>
      </c>
      <c r="AC88" s="10">
        <v>0.50409999999999999</v>
      </c>
      <c r="AD88" s="10">
        <v>0.50180000000000002</v>
      </c>
      <c r="AE88" s="10">
        <v>0.50319999999999998</v>
      </c>
      <c r="AF88" s="10">
        <v>0.50639999999999996</v>
      </c>
      <c r="AG88" s="10">
        <v>0.50749999999999995</v>
      </c>
      <c r="AH88" s="10">
        <v>0.50449999999999995</v>
      </c>
      <c r="AI88" s="10">
        <v>0.50449999999999995</v>
      </c>
      <c r="AJ88" s="10">
        <v>0.50790000000000002</v>
      </c>
      <c r="AK88" s="10">
        <v>0.5071</v>
      </c>
      <c r="AL88" s="10">
        <v>0.50129999999999997</v>
      </c>
      <c r="AM88" s="10">
        <v>0.50260000000000005</v>
      </c>
    </row>
    <row r="89" spans="1:39" ht="16" x14ac:dyDescent="0.2">
      <c r="A89" t="s">
        <v>92</v>
      </c>
      <c r="B89" s="2" t="s">
        <v>93</v>
      </c>
      <c r="E89" s="10">
        <v>-9.5999999999999992E-3</v>
      </c>
      <c r="F89" s="10">
        <v>-3.7000000000000002E-3</v>
      </c>
      <c r="G89" s="10">
        <v>-7.4000000000000003E-3</v>
      </c>
      <c r="H89" s="10">
        <v>8.6E-3</v>
      </c>
      <c r="I89" s="10">
        <v>1.7899999999999999E-2</v>
      </c>
      <c r="J89" s="10">
        <v>2.6599999999999999E-2</v>
      </c>
      <c r="K89" s="10">
        <v>2.5999999999999999E-2</v>
      </c>
      <c r="L89" s="10">
        <v>1.89E-2</v>
      </c>
      <c r="M89" s="10">
        <v>1.83E-2</v>
      </c>
      <c r="N89" s="10">
        <v>2.5000000000000001E-2</v>
      </c>
      <c r="O89" s="10">
        <v>3.5400000000000001E-2</v>
      </c>
      <c r="P89" s="10">
        <v>3.2099999999999997E-2</v>
      </c>
      <c r="Q89" s="10">
        <v>2.29E-2</v>
      </c>
      <c r="R89" s="10">
        <v>3.4099999999999998E-2</v>
      </c>
      <c r="S89" s="10">
        <v>4.1799999999999997E-2</v>
      </c>
      <c r="T89" s="10">
        <v>5.1999999999999998E-2</v>
      </c>
      <c r="U89" s="10">
        <v>5.5500000000000001E-2</v>
      </c>
      <c r="V89" s="10">
        <v>5.3499999999999999E-2</v>
      </c>
      <c r="W89" s="10">
        <v>4.7899999999999998E-2</v>
      </c>
      <c r="X89" s="10">
        <v>2.9899999999999999E-2</v>
      </c>
      <c r="Y89" s="10">
        <v>3.4599999999999999E-2</v>
      </c>
      <c r="Z89" s="10">
        <v>2.9499999999999998E-2</v>
      </c>
      <c r="AA89" s="10">
        <v>4.1300000000000003E-2</v>
      </c>
      <c r="AB89" s="10">
        <v>4.07E-2</v>
      </c>
      <c r="AC89" s="10">
        <v>4.0300000000000002E-2</v>
      </c>
      <c r="AD89" s="10">
        <v>4.0500000000000001E-2</v>
      </c>
      <c r="AE89" s="10">
        <v>4.0399999999999998E-2</v>
      </c>
      <c r="AF89" s="10">
        <v>4.0099999999999997E-2</v>
      </c>
      <c r="AG89" s="10">
        <v>4.0099999999999997E-2</v>
      </c>
      <c r="AH89" s="10">
        <v>4.0300000000000002E-2</v>
      </c>
      <c r="AI89" s="10">
        <v>4.0300000000000002E-2</v>
      </c>
      <c r="AJ89" s="10">
        <v>0.04</v>
      </c>
      <c r="AK89" s="10">
        <v>4.0099999999999997E-2</v>
      </c>
      <c r="AL89" s="10">
        <v>4.0599999999999997E-2</v>
      </c>
      <c r="AM89" s="10">
        <v>4.0500000000000001E-2</v>
      </c>
    </row>
    <row r="91" spans="1:39" x14ac:dyDescent="0.15">
      <c r="A91" s="8" t="s">
        <v>61</v>
      </c>
    </row>
    <row r="92" spans="1:39" x14ac:dyDescent="0.15">
      <c r="A92" s="2" t="s">
        <v>62</v>
      </c>
      <c r="G92" s="10">
        <f>G15/G17</f>
        <v>1.5490006904836224</v>
      </c>
      <c r="H92" s="10">
        <f t="shared" ref="H92:AL92" si="49">H15/H17</f>
        <v>1.5180342651036971</v>
      </c>
      <c r="I92" s="10">
        <f t="shared" si="49"/>
        <v>1.5322668605708054</v>
      </c>
      <c r="J92" s="10">
        <f t="shared" si="49"/>
        <v>1.5549678012879484</v>
      </c>
      <c r="K92" s="10">
        <f t="shared" si="49"/>
        <v>1.5245288289082946</v>
      </c>
      <c r="L92" s="10">
        <f t="shared" si="49"/>
        <v>1.5753674028010312</v>
      </c>
      <c r="M92" s="10">
        <f t="shared" si="49"/>
        <v>1.6183071732433623</v>
      </c>
      <c r="N92" s="10">
        <f t="shared" si="49"/>
        <v>1.6603532992162131</v>
      </c>
      <c r="O92" s="10">
        <f t="shared" si="49"/>
        <v>1.7001333772524287</v>
      </c>
      <c r="P92" s="10">
        <f t="shared" si="49"/>
        <v>1.7700116474699106</v>
      </c>
      <c r="Q92" s="10">
        <f t="shared" si="49"/>
        <v>1.8309238399293217</v>
      </c>
      <c r="R92" s="10">
        <f t="shared" si="49"/>
        <v>1.8403695462900262</v>
      </c>
      <c r="S92" s="10">
        <f t="shared" si="49"/>
        <v>1.9051547684631545</v>
      </c>
      <c r="T92" s="10">
        <f t="shared" si="49"/>
        <v>2.095904384836961</v>
      </c>
      <c r="U92" s="10">
        <f t="shared" si="49"/>
        <v>2.1888114364827662</v>
      </c>
      <c r="V92" s="10">
        <f t="shared" si="49"/>
        <v>2.0052534709357142</v>
      </c>
      <c r="W92" s="10">
        <f t="shared" si="49"/>
        <v>1.8215160125950389</v>
      </c>
      <c r="X92" s="10">
        <f t="shared" si="49"/>
        <v>1.7002884778550822</v>
      </c>
      <c r="Y92" s="10">
        <f t="shared" si="49"/>
        <v>1.8459161296852331</v>
      </c>
      <c r="Z92" s="10">
        <f t="shared" si="49"/>
        <v>1.8760481802218993</v>
      </c>
      <c r="AA92" s="10">
        <f t="shared" si="49"/>
        <v>1.8622913072744061</v>
      </c>
      <c r="AB92" s="10">
        <f t="shared" si="49"/>
        <v>1.9404472443265548</v>
      </c>
      <c r="AC92" s="10">
        <f t="shared" si="49"/>
        <v>2.0257850948499541</v>
      </c>
      <c r="AD92" s="10">
        <f t="shared" si="49"/>
        <v>2.08697146547145</v>
      </c>
      <c r="AE92" s="10">
        <f t="shared" si="49"/>
        <v>2.1361901620806636</v>
      </c>
      <c r="AF92" s="10">
        <f t="shared" si="49"/>
        <v>2.177744026839552</v>
      </c>
      <c r="AG92" s="10">
        <f t="shared" si="49"/>
        <v>2.1873953729614231</v>
      </c>
      <c r="AH92" s="10">
        <f t="shared" si="49"/>
        <v>2.1941260853152134</v>
      </c>
      <c r="AI92" s="10">
        <f t="shared" si="49"/>
        <v>2.2517234823556942</v>
      </c>
      <c r="AJ92" s="10">
        <f t="shared" si="49"/>
        <v>2.4346146013098515</v>
      </c>
      <c r="AK92" s="10">
        <f t="shared" si="49"/>
        <v>2.4507361689470555</v>
      </c>
      <c r="AL92" s="10">
        <f t="shared" si="49"/>
        <v>2.4012120750321797</v>
      </c>
      <c r="AM92" s="10">
        <f>AM15/AM17</f>
        <v>2.4672886675933854</v>
      </c>
    </row>
    <row r="93" spans="1:39" x14ac:dyDescent="0.15">
      <c r="A93" s="2" t="s">
        <v>63</v>
      </c>
      <c r="G93" s="10">
        <v>0.3</v>
      </c>
      <c r="H93" s="10">
        <f>H20/H19</f>
        <v>0.29882165814982525</v>
      </c>
      <c r="I93" s="10">
        <f t="shared" ref="I93:AM93" si="50">I20/I19</f>
        <v>0.29892848354266827</v>
      </c>
      <c r="J93" s="10">
        <f t="shared" si="50"/>
        <v>0.29925100543080813</v>
      </c>
      <c r="K93" s="10">
        <f t="shared" si="50"/>
        <v>0.29975471528883091</v>
      </c>
      <c r="L93" s="10">
        <f t="shared" si="50"/>
        <v>0.30047533422026057</v>
      </c>
      <c r="M93" s="10">
        <f t="shared" si="50"/>
        <v>0.30094872388124294</v>
      </c>
      <c r="N93" s="10">
        <f t="shared" si="50"/>
        <v>0.30157620050386091</v>
      </c>
      <c r="O93" s="10">
        <f t="shared" si="50"/>
        <v>0.30213650261843655</v>
      </c>
      <c r="P93" s="10">
        <f t="shared" si="50"/>
        <v>0.30241493592370017</v>
      </c>
      <c r="Q93" s="10">
        <f t="shared" si="50"/>
        <v>0.30233751738186149</v>
      </c>
      <c r="R93" s="10">
        <f t="shared" si="50"/>
        <v>0.30205522902684673</v>
      </c>
      <c r="S93" s="10">
        <f t="shared" si="50"/>
        <v>0.30164481477094379</v>
      </c>
      <c r="T93" s="10">
        <f t="shared" si="50"/>
        <v>0.30129634096445201</v>
      </c>
      <c r="U93" s="10">
        <f t="shared" si="50"/>
        <v>0.3007412876354944</v>
      </c>
      <c r="V93" s="10">
        <f t="shared" si="50"/>
        <v>0.30047566121083824</v>
      </c>
      <c r="W93" s="10">
        <f t="shared" si="50"/>
        <v>0.30103777250130448</v>
      </c>
      <c r="X93" s="10">
        <f t="shared" si="50"/>
        <v>0.30257281549882048</v>
      </c>
      <c r="Y93" s="10">
        <f t="shared" si="50"/>
        <v>0.30462113259939905</v>
      </c>
      <c r="Z93" s="10">
        <f t="shared" si="50"/>
        <v>0.30640857001339089</v>
      </c>
      <c r="AA93" s="10">
        <f t="shared" si="50"/>
        <v>0.30817991081729351</v>
      </c>
      <c r="AB93" s="10">
        <f t="shared" si="50"/>
        <v>0.31001326679330721</v>
      </c>
      <c r="AC93" s="10">
        <f t="shared" si="50"/>
        <v>0.31167188963283299</v>
      </c>
      <c r="AD93" s="10">
        <f t="shared" si="50"/>
        <v>0.3129596059727065</v>
      </c>
      <c r="AE93" s="10">
        <f t="shared" si="50"/>
        <v>0.31390955656659603</v>
      </c>
      <c r="AF93" s="10">
        <f>AF20/AF19</f>
        <v>0.3148505759567522</v>
      </c>
      <c r="AG93" s="10">
        <f t="shared" si="50"/>
        <v>0.31570481067224865</v>
      </c>
      <c r="AH93" s="10">
        <f t="shared" si="50"/>
        <v>0.31673852575409062</v>
      </c>
      <c r="AI93" s="10">
        <f t="shared" si="50"/>
        <v>0.31730964682077284</v>
      </c>
      <c r="AJ93" s="10">
        <f t="shared" si="50"/>
        <v>0.31777050502013865</v>
      </c>
      <c r="AK93" s="10">
        <f t="shared" si="50"/>
        <v>0.31834887160251152</v>
      </c>
      <c r="AL93" s="10">
        <f t="shared" si="50"/>
        <v>0.31986855384855412</v>
      </c>
      <c r="AM93" s="10">
        <f t="shared" si="50"/>
        <v>0.32149178005777668</v>
      </c>
    </row>
    <row r="94" spans="1:39" x14ac:dyDescent="0.15">
      <c r="A94" s="2" t="s">
        <v>86</v>
      </c>
      <c r="E94" s="10">
        <f>E68/(E48*10^6)</f>
        <v>2.8869072416477903E-2</v>
      </c>
      <c r="F94" s="10">
        <f t="shared" ref="F94:AM94" si="51">F68/(F48*10^6)</f>
        <v>2.9020932509948839E-2</v>
      </c>
      <c r="G94" s="10">
        <f t="shared" si="51"/>
        <v>2.9170560713614142E-2</v>
      </c>
      <c r="H94" s="10">
        <f t="shared" si="51"/>
        <v>2.9234160922339016E-2</v>
      </c>
      <c r="I94" s="10">
        <f>I68/(I48*10^6)</f>
        <v>2.9339970689480348E-2</v>
      </c>
      <c r="J94" s="10">
        <f t="shared" si="51"/>
        <v>2.9457883550119971E-2</v>
      </c>
      <c r="K94" s="10">
        <f t="shared" si="51"/>
        <v>2.9606179223032245E-2</v>
      </c>
      <c r="L94" s="10">
        <f t="shared" si="51"/>
        <v>2.9749175725105957E-2</v>
      </c>
      <c r="M94" s="10">
        <f t="shared" si="51"/>
        <v>2.9870758243694267E-2</v>
      </c>
      <c r="N94" s="10">
        <f t="shared" si="51"/>
        <v>3.0002507519550241E-2</v>
      </c>
      <c r="O94" s="10">
        <f t="shared" si="51"/>
        <v>3.0131625543197406E-2</v>
      </c>
      <c r="P94" s="10">
        <f t="shared" si="51"/>
        <v>3.0298681407854786E-2</v>
      </c>
      <c r="Q94" s="10">
        <f t="shared" si="51"/>
        <v>3.0433593360929819E-2</v>
      </c>
      <c r="R94" s="10">
        <f t="shared" si="51"/>
        <v>3.0582319348418804E-2</v>
      </c>
      <c r="S94" s="10">
        <f t="shared" si="51"/>
        <v>3.0713670372975267E-2</v>
      </c>
      <c r="T94" s="10">
        <f t="shared" si="51"/>
        <v>3.0855565771316554E-2</v>
      </c>
      <c r="U94" s="10">
        <f t="shared" si="51"/>
        <v>3.1043298164083678E-2</v>
      </c>
      <c r="V94" s="10">
        <f t="shared" si="51"/>
        <v>3.12786010317238E-2</v>
      </c>
      <c r="W94" s="10">
        <f t="shared" si="51"/>
        <v>3.1606918514152496E-2</v>
      </c>
      <c r="X94" s="10">
        <f t="shared" si="51"/>
        <v>3.1859053491220028E-2</v>
      </c>
      <c r="Y94" s="10">
        <f t="shared" si="51"/>
        <v>3.2037962292321885E-2</v>
      </c>
      <c r="Z94" s="10">
        <f t="shared" si="51"/>
        <v>3.2327389835833789E-2</v>
      </c>
      <c r="AA94" s="10">
        <f t="shared" si="51"/>
        <v>3.2474574940118586E-2</v>
      </c>
      <c r="AB94" s="10">
        <f t="shared" si="51"/>
        <v>3.2596995017849434E-2</v>
      </c>
      <c r="AC94" s="10">
        <f t="shared" si="51"/>
        <v>3.2687482902809803E-2</v>
      </c>
      <c r="AD94" s="10">
        <f t="shared" si="51"/>
        <v>3.2916106543283211E-2</v>
      </c>
      <c r="AE94" s="10">
        <f t="shared" si="51"/>
        <v>3.3171040497663298E-2</v>
      </c>
      <c r="AF94" s="10">
        <f t="shared" si="51"/>
        <v>3.3485727683019752E-2</v>
      </c>
      <c r="AG94" s="10">
        <f t="shared" si="51"/>
        <v>3.3931390169570995E-2</v>
      </c>
      <c r="AH94" s="10">
        <f t="shared" si="51"/>
        <v>3.4318590294600299E-2</v>
      </c>
      <c r="AI94" s="10">
        <f t="shared" si="51"/>
        <v>3.474324957078196E-2</v>
      </c>
      <c r="AJ94" s="10">
        <f t="shared" si="51"/>
        <v>3.515313487573641E-2</v>
      </c>
      <c r="AK94" s="10">
        <f t="shared" si="51"/>
        <v>3.56603331902774E-2</v>
      </c>
      <c r="AL94" s="10">
        <f t="shared" si="51"/>
        <v>3.6108228317272055E-2</v>
      </c>
      <c r="AM94" s="10">
        <f t="shared" si="51"/>
        <v>3.6540036662896368E-2</v>
      </c>
    </row>
    <row r="95" spans="1:39" x14ac:dyDescent="0.15">
      <c r="A95" s="2" t="s">
        <v>64</v>
      </c>
      <c r="E95" s="10">
        <f>E70/(E50*10^6)</f>
        <v>4.4847085946218617E-3</v>
      </c>
      <c r="F95" s="10">
        <f t="shared" ref="F95:AM95" si="52">F70/(F50*10^6)</f>
        <v>4.5302784054418385E-3</v>
      </c>
      <c r="G95" s="10">
        <f t="shared" si="52"/>
        <v>4.5640883812880289E-3</v>
      </c>
      <c r="H95" s="10">
        <f t="shared" si="52"/>
        <v>4.5949998806172855E-3</v>
      </c>
      <c r="I95" s="10">
        <f t="shared" si="52"/>
        <v>4.6214357905045578E-3</v>
      </c>
      <c r="J95" s="10">
        <f t="shared" si="52"/>
        <v>4.6510928520154954E-3</v>
      </c>
      <c r="K95" s="10">
        <f t="shared" si="52"/>
        <v>4.6809474515785363E-3</v>
      </c>
      <c r="L95" s="10">
        <f t="shared" si="52"/>
        <v>4.7171494409524667E-3</v>
      </c>
      <c r="M95" s="10">
        <f t="shared" si="52"/>
        <v>4.761689470130925E-3</v>
      </c>
      <c r="N95" s="10">
        <f t="shared" si="52"/>
        <v>4.8108657526515297E-3</v>
      </c>
      <c r="O95" s="10">
        <f t="shared" si="52"/>
        <v>4.8598324764713803E-3</v>
      </c>
      <c r="P95" s="10">
        <f t="shared" si="52"/>
        <v>4.9091781947168383E-3</v>
      </c>
      <c r="Q95" s="10">
        <f t="shared" si="52"/>
        <v>4.9566336420736427E-3</v>
      </c>
      <c r="R95" s="10">
        <f t="shared" si="52"/>
        <v>5.0025407572635329E-3</v>
      </c>
      <c r="S95" s="10">
        <f t="shared" si="52"/>
        <v>5.0585980584857415E-3</v>
      </c>
      <c r="T95" s="10">
        <f t="shared" si="52"/>
        <v>5.1092391497314059E-3</v>
      </c>
      <c r="U95" s="10">
        <f t="shared" si="52"/>
        <v>5.161398798627934E-3</v>
      </c>
      <c r="V95" s="10">
        <f t="shared" si="52"/>
        <v>5.2240989893108788E-3</v>
      </c>
      <c r="W95" s="10">
        <f t="shared" si="52"/>
        <v>5.2963285157674794E-3</v>
      </c>
      <c r="X95" s="10">
        <f t="shared" si="52"/>
        <v>5.3684045448473584E-3</v>
      </c>
      <c r="Y95" s="10">
        <f t="shared" si="52"/>
        <v>5.4204980323994869E-3</v>
      </c>
      <c r="Z95" s="10">
        <f t="shared" si="52"/>
        <v>5.4861393402801878E-3</v>
      </c>
      <c r="AA95" s="10">
        <f t="shared" si="52"/>
        <v>5.5207866017939946E-3</v>
      </c>
      <c r="AB95" s="10">
        <f t="shared" si="52"/>
        <v>5.5608844936160095E-3</v>
      </c>
      <c r="AC95" s="10">
        <f t="shared" si="52"/>
        <v>5.5991298897249192E-3</v>
      </c>
      <c r="AD95" s="10">
        <f t="shared" si="52"/>
        <v>5.6302346339871827E-3</v>
      </c>
      <c r="AE95" s="10">
        <f t="shared" si="52"/>
        <v>5.6616534089079257E-3</v>
      </c>
      <c r="AF95" s="10">
        <f t="shared" si="52"/>
        <v>5.7008286714629128E-3</v>
      </c>
      <c r="AG95" s="10">
        <f t="shared" si="52"/>
        <v>5.7519684356787792E-3</v>
      </c>
      <c r="AH95" s="10">
        <f t="shared" si="52"/>
        <v>5.8007746716066018E-3</v>
      </c>
      <c r="AI95" s="10">
        <f t="shared" si="52"/>
        <v>5.8711129711672043E-3</v>
      </c>
      <c r="AJ95" s="10">
        <f t="shared" si="52"/>
        <v>5.9409566683752682E-3</v>
      </c>
      <c r="AK95" s="10">
        <f t="shared" si="52"/>
        <v>6.0080221848073682E-3</v>
      </c>
      <c r="AL95" s="10">
        <f t="shared" si="52"/>
        <v>6.0815223984807707E-3</v>
      </c>
      <c r="AM95" s="10">
        <f t="shared" si="52"/>
        <v>6.1472680321760431E-3</v>
      </c>
    </row>
    <row r="97" spans="1:40" x14ac:dyDescent="0.15">
      <c r="A97" s="8" t="s">
        <v>65</v>
      </c>
    </row>
    <row r="98" spans="1:40" x14ac:dyDescent="0.15">
      <c r="A98" s="2" t="s">
        <v>66</v>
      </c>
      <c r="E98" s="10">
        <f>E61/E59</f>
        <v>0.16059451227007765</v>
      </c>
      <c r="F98" s="10">
        <f t="shared" ref="F98:AM98" si="53">F61/F59</f>
        <v>0.15219795248530563</v>
      </c>
      <c r="G98" s="10">
        <f t="shared" si="53"/>
        <v>0.15139399759600625</v>
      </c>
      <c r="H98" s="10">
        <f t="shared" si="53"/>
        <v>0.13956704847738344</v>
      </c>
      <c r="I98" s="10">
        <f t="shared" si="53"/>
        <v>0.15045155431565985</v>
      </c>
      <c r="J98" s="10">
        <f t="shared" si="53"/>
        <v>0.16730351670648316</v>
      </c>
      <c r="K98" s="10">
        <f t="shared" si="53"/>
        <v>0.16429920161327444</v>
      </c>
      <c r="L98" s="10">
        <f t="shared" si="53"/>
        <v>0.18203782130457105</v>
      </c>
      <c r="M98" s="10">
        <f t="shared" si="53"/>
        <v>0.18851307268358422</v>
      </c>
      <c r="N98" s="10">
        <f t="shared" si="53"/>
        <v>0.17424230299813484</v>
      </c>
      <c r="O98" s="10">
        <f t="shared" si="53"/>
        <v>0.1876645824396441</v>
      </c>
      <c r="P98" s="10">
        <f t="shared" si="53"/>
        <v>0.18307987126737776</v>
      </c>
      <c r="Q98" s="10">
        <f t="shared" si="53"/>
        <v>0.17988804848837128</v>
      </c>
      <c r="R98" s="10">
        <f t="shared" si="53"/>
        <v>0.17837683845762087</v>
      </c>
      <c r="S98" s="10">
        <f t="shared" si="53"/>
        <v>0.18538097297400127</v>
      </c>
      <c r="T98" s="10">
        <f t="shared" si="53"/>
        <v>0.1914784738285783</v>
      </c>
      <c r="U98" s="10">
        <f t="shared" si="53"/>
        <v>0.20783452896208851</v>
      </c>
      <c r="V98" s="10">
        <f t="shared" si="53"/>
        <v>0.21142236984906329</v>
      </c>
      <c r="W98" s="10">
        <f t="shared" si="53"/>
        <v>0.2031671953561574</v>
      </c>
      <c r="X98" s="10">
        <f t="shared" si="53"/>
        <v>0.16750395618440977</v>
      </c>
      <c r="Y98" s="10">
        <f t="shared" si="53"/>
        <v>0.16167469180525298</v>
      </c>
      <c r="Z98" s="10">
        <f t="shared" si="53"/>
        <v>0.16959840051936903</v>
      </c>
      <c r="AA98" s="10">
        <f t="shared" si="53"/>
        <v>0.17211140165828323</v>
      </c>
      <c r="AB98" s="10">
        <f t="shared" si="53"/>
        <v>0.1752165792745215</v>
      </c>
      <c r="AC98" s="10">
        <f t="shared" si="53"/>
        <v>0.18363343866577073</v>
      </c>
      <c r="AD98" s="10">
        <f t="shared" si="53"/>
        <v>0.18731942955312175</v>
      </c>
      <c r="AE98" s="10">
        <f t="shared" si="53"/>
        <v>0.19563608643211453</v>
      </c>
      <c r="AF98" s="10">
        <f t="shared" si="53"/>
        <v>0.19871005901220046</v>
      </c>
      <c r="AG98" s="10">
        <f t="shared" si="53"/>
        <v>0.20300859418326514</v>
      </c>
      <c r="AH98" s="10">
        <f t="shared" si="53"/>
        <v>0.19683697174557174</v>
      </c>
      <c r="AI98" s="10">
        <f t="shared" si="53"/>
        <v>0.20901075088679699</v>
      </c>
      <c r="AJ98" s="10">
        <f t="shared" si="53"/>
        <v>0.22312321105926741</v>
      </c>
      <c r="AK98" s="10">
        <f t="shared" si="53"/>
        <v>0.23412750792598472</v>
      </c>
      <c r="AL98" s="10">
        <f t="shared" si="53"/>
        <v>0.21089620277254487</v>
      </c>
      <c r="AM98" s="10">
        <f t="shared" si="53"/>
        <v>0.20717329380309712</v>
      </c>
    </row>
    <row r="99" spans="1:40" x14ac:dyDescent="0.15">
      <c r="A99" s="2" t="s">
        <v>67</v>
      </c>
      <c r="G99" s="9">
        <f>G63*G14/(G59*10^6)</f>
        <v>2.7675079549050962E-3</v>
      </c>
      <c r="H99" s="9">
        <f t="shared" ref="H99:AM99" si="54">H63*H14/(H59*10^6)</f>
        <v>2.0289941385157931E-3</v>
      </c>
      <c r="I99" s="9">
        <f t="shared" si="54"/>
        <v>2.6000643454929541E-3</v>
      </c>
      <c r="J99" s="9">
        <f t="shared" si="54"/>
        <v>2.8544857471796861E-3</v>
      </c>
      <c r="K99" s="9">
        <f t="shared" si="54"/>
        <v>2.8695660711739427E-3</v>
      </c>
      <c r="L99" s="9">
        <f t="shared" si="54"/>
        <v>2.5783394344123566E-3</v>
      </c>
      <c r="M99" s="9">
        <f t="shared" si="54"/>
        <v>3.1155112108863943E-3</v>
      </c>
      <c r="N99" s="9">
        <f t="shared" si="54"/>
        <v>2.8629518621849904E-3</v>
      </c>
      <c r="O99" s="9">
        <f t="shared" si="54"/>
        <v>3.1210117405164554E-3</v>
      </c>
      <c r="P99" s="9">
        <f t="shared" si="54"/>
        <v>3.3717148224628696E-3</v>
      </c>
      <c r="Q99" s="9">
        <f t="shared" si="54"/>
        <v>4.0623749884526987E-3</v>
      </c>
      <c r="R99" s="9">
        <f t="shared" si="54"/>
        <v>4.2819952298482752E-3</v>
      </c>
      <c r="S99" s="9">
        <f t="shared" si="54"/>
        <v>5.3461635487129311E-3</v>
      </c>
      <c r="T99" s="9">
        <f t="shared" si="54"/>
        <v>9.7144409503887533E-3</v>
      </c>
      <c r="U99" s="9">
        <f t="shared" si="54"/>
        <v>1.3282893800300698E-2</v>
      </c>
      <c r="V99" s="9">
        <f t="shared" si="54"/>
        <v>3.6962258476848061E-3</v>
      </c>
      <c r="W99" s="9">
        <f t="shared" si="54"/>
        <v>3.1725996560815141E-3</v>
      </c>
      <c r="X99" s="9">
        <f t="shared" si="54"/>
        <v>2.5640611388355835E-3</v>
      </c>
      <c r="Y99" s="9">
        <f t="shared" si="54"/>
        <v>1.9861245686542198E-3</v>
      </c>
      <c r="Z99" s="9">
        <f t="shared" si="54"/>
        <v>1.6564998289873561E-3</v>
      </c>
      <c r="AA99" s="9">
        <f t="shared" si="54"/>
        <v>1.8894408074384122E-3</v>
      </c>
      <c r="AB99" s="9">
        <f t="shared" si="54"/>
        <v>1.8093861268524555E-3</v>
      </c>
      <c r="AC99" s="9">
        <f t="shared" si="54"/>
        <v>1.8531508769836942E-3</v>
      </c>
      <c r="AD99" s="9">
        <f t="shared" si="54"/>
        <v>2.1131555813945152E-3</v>
      </c>
      <c r="AE99" s="9">
        <f t="shared" si="54"/>
        <v>2.4853845931618371E-3</v>
      </c>
      <c r="AF99" s="9">
        <f t="shared" si="54"/>
        <v>3.0841138852700516E-3</v>
      </c>
      <c r="AG99" s="9">
        <f t="shared" si="54"/>
        <v>3.3944054571092503E-3</v>
      </c>
      <c r="AH99" s="9">
        <f t="shared" si="54"/>
        <v>3.6808649498272367E-3</v>
      </c>
      <c r="AI99" s="9">
        <f t="shared" si="54"/>
        <v>3.3538455203868875E-3</v>
      </c>
      <c r="AJ99" s="9">
        <f t="shared" si="54"/>
        <v>4.3529033419332126E-3</v>
      </c>
      <c r="AK99" s="9">
        <f t="shared" si="54"/>
        <v>3.9172630281167483E-3</v>
      </c>
      <c r="AL99" s="9">
        <f t="shared" si="54"/>
        <v>4.2139266359170029E-3</v>
      </c>
      <c r="AM99" s="9">
        <f t="shared" si="54"/>
        <v>2.7624919735277421E-3</v>
      </c>
    </row>
    <row r="100" spans="1:40" x14ac:dyDescent="0.15">
      <c r="A100" s="2" t="s">
        <v>68</v>
      </c>
      <c r="G100" s="9">
        <f>G65*G17/(G59*10^6)</f>
        <v>1.7433006768084243E-2</v>
      </c>
      <c r="H100" s="9">
        <f t="shared" ref="H100:AM100" si="55">H65*H17/(H59*10^6)</f>
        <v>1.6361029017646665E-2</v>
      </c>
      <c r="I100" s="9">
        <f t="shared" si="55"/>
        <v>1.4869939510792726E-2</v>
      </c>
      <c r="J100" s="9">
        <f t="shared" si="55"/>
        <v>1.4366788412762864E-2</v>
      </c>
      <c r="K100" s="9">
        <f t="shared" si="55"/>
        <v>1.7270965113861662E-2</v>
      </c>
      <c r="L100" s="9">
        <f t="shared" si="55"/>
        <v>2.5672747289180779E-2</v>
      </c>
      <c r="M100" s="9">
        <f t="shared" si="55"/>
        <v>2.7221894152891075E-2</v>
      </c>
      <c r="N100" s="9">
        <f t="shared" si="55"/>
        <v>2.7690922028608712E-2</v>
      </c>
      <c r="O100" s="9">
        <f t="shared" si="55"/>
        <v>2.5872792352960201E-2</v>
      </c>
      <c r="P100" s="9">
        <f t="shared" si="55"/>
        <v>2.8638815779933574E-2</v>
      </c>
      <c r="Q100" s="9">
        <f t="shared" si="55"/>
        <v>3.1187244481181167E-2</v>
      </c>
      <c r="R100" s="9">
        <f t="shared" si="55"/>
        <v>4.2835296176955695E-2</v>
      </c>
      <c r="S100" s="9">
        <f t="shared" si="55"/>
        <v>4.9100291779477806E-2</v>
      </c>
      <c r="T100" s="9">
        <f t="shared" si="55"/>
        <v>5.085609673496478E-2</v>
      </c>
      <c r="U100" s="9">
        <f t="shared" si="55"/>
        <v>6.0913299757133478E-2</v>
      </c>
      <c r="V100" s="9">
        <f t="shared" si="55"/>
        <v>1.5775179834696684E-2</v>
      </c>
      <c r="W100" s="9">
        <f t="shared" si="55"/>
        <v>1.7388786694420323E-2</v>
      </c>
      <c r="X100" s="9">
        <f t="shared" si="55"/>
        <v>1.4475531868208619E-2</v>
      </c>
      <c r="Y100" s="9">
        <f t="shared" si="55"/>
        <v>9.8498017519593473E-3</v>
      </c>
      <c r="Z100" s="9">
        <f t="shared" si="55"/>
        <v>8.1940163882944991E-3</v>
      </c>
      <c r="AA100" s="9">
        <f t="shared" si="55"/>
        <v>8.2049040569868153E-3</v>
      </c>
      <c r="AB100" s="9">
        <f t="shared" si="55"/>
        <v>7.7202384216313296E-3</v>
      </c>
      <c r="AC100" s="9">
        <f t="shared" si="55"/>
        <v>8.2940128386416786E-3</v>
      </c>
      <c r="AD100" s="9">
        <f t="shared" si="55"/>
        <v>7.7692546807191813E-3</v>
      </c>
      <c r="AE100" s="9">
        <f t="shared" si="55"/>
        <v>7.607492496915033E-3</v>
      </c>
      <c r="AF100" s="9">
        <f t="shared" si="55"/>
        <v>8.9119075144341395E-3</v>
      </c>
      <c r="AG100" s="9">
        <f t="shared" si="55"/>
        <v>9.2242640928564303E-3</v>
      </c>
      <c r="AH100" s="9">
        <f t="shared" si="55"/>
        <v>1.0543331269816984E-2</v>
      </c>
      <c r="AI100" s="9">
        <f t="shared" si="55"/>
        <v>1.0457624360487319E-2</v>
      </c>
      <c r="AJ100" s="9">
        <f t="shared" si="55"/>
        <v>1.0726884840631964E-2</v>
      </c>
      <c r="AK100" s="9">
        <f t="shared" si="55"/>
        <v>1.2610289637759398E-2</v>
      </c>
      <c r="AL100" s="9">
        <f t="shared" si="55"/>
        <v>1.2580726217185111E-2</v>
      </c>
      <c r="AM100" s="9">
        <f t="shared" si="55"/>
        <v>9.7172877923963306E-3</v>
      </c>
    </row>
    <row r="101" spans="1:40" x14ac:dyDescent="0.15">
      <c r="A101" s="2" t="s">
        <v>100</v>
      </c>
      <c r="G101" s="10">
        <f>(1+G52)/(1+(G53/F53-1)) - 1</f>
        <v>7.2880642865516485</v>
      </c>
      <c r="H101" s="10">
        <f t="shared" ref="H101:AL101" si="56">(1+H52)/(1+(H53/G53-1)) - 1</f>
        <v>6.3937820332331343</v>
      </c>
      <c r="I101" s="10">
        <f t="shared" si="56"/>
        <v>3.6932944883076582</v>
      </c>
      <c r="J101" s="10">
        <f t="shared" si="56"/>
        <v>4.0074500902289643</v>
      </c>
      <c r="K101" s="10">
        <f t="shared" si="56"/>
        <v>2.7079435895484054</v>
      </c>
      <c r="L101" s="10">
        <f t="shared" si="56"/>
        <v>2.5346535326882913</v>
      </c>
      <c r="M101" s="10">
        <f t="shared" si="56"/>
        <v>2.9636307783780631</v>
      </c>
      <c r="N101" s="10">
        <f t="shared" si="56"/>
        <v>2.3042521399114695</v>
      </c>
      <c r="O101" s="10">
        <f t="shared" si="56"/>
        <v>2.99517309638816</v>
      </c>
      <c r="P101" s="10">
        <f t="shared" si="56"/>
        <v>3.1644261151038444</v>
      </c>
      <c r="Q101" s="10">
        <f t="shared" si="56"/>
        <v>2.4286598950184333</v>
      </c>
      <c r="R101" s="10">
        <f t="shared" si="56"/>
        <v>1.4676407083318264</v>
      </c>
      <c r="S101" s="10">
        <f t="shared" si="56"/>
        <v>1.295374592798058</v>
      </c>
      <c r="T101" s="10">
        <f t="shared" si="56"/>
        <v>1.3759850475618771</v>
      </c>
      <c r="U101" s="10">
        <f t="shared" si="56"/>
        <v>2.011835528857957</v>
      </c>
      <c r="V101" s="10">
        <f t="shared" si="56"/>
        <v>3.1723790508593073</v>
      </c>
      <c r="W101" s="10">
        <f t="shared" si="56"/>
        <v>3.5977927014480944</v>
      </c>
      <c r="X101" s="10">
        <f t="shared" si="56"/>
        <v>1.9391960095652636</v>
      </c>
      <c r="Y101" s="10">
        <f t="shared" si="56"/>
        <v>0.98259473014159715</v>
      </c>
      <c r="Z101" s="10">
        <f t="shared" si="56"/>
        <v>1.0443432708933651</v>
      </c>
      <c r="AA101" s="10">
        <f t="shared" si="56"/>
        <v>0.90261706869612368</v>
      </c>
      <c r="AB101" s="10">
        <f t="shared" si="56"/>
        <v>0.82632915805393692</v>
      </c>
      <c r="AC101" s="10">
        <f t="shared" si="56"/>
        <v>0.75072843246727272</v>
      </c>
      <c r="AD101" s="10">
        <f t="shared" si="56"/>
        <v>0.44453295651879055</v>
      </c>
      <c r="AE101" s="10">
        <f t="shared" si="56"/>
        <v>0.32321281593922624</v>
      </c>
      <c r="AF101" s="10">
        <f t="shared" si="56"/>
        <v>0.21257558621408834</v>
      </c>
      <c r="AG101" s="10">
        <f t="shared" si="56"/>
        <v>0.144097430330411</v>
      </c>
      <c r="AH101" s="10">
        <f t="shared" si="56"/>
        <v>8.5172790336111026E-2</v>
      </c>
      <c r="AI101" s="10">
        <f t="shared" si="56"/>
        <v>-6.0084924480053425E-2</v>
      </c>
      <c r="AJ101" s="10">
        <f t="shared" si="56"/>
        <v>-0.25886220308716001</v>
      </c>
      <c r="AK101" s="10">
        <f t="shared" si="56"/>
        <v>-0.19055583711393154</v>
      </c>
      <c r="AL101" s="10">
        <f t="shared" si="56"/>
        <v>0.95161593242818232</v>
      </c>
    </row>
    <row r="102" spans="1:40" x14ac:dyDescent="0.15">
      <c r="A102" s="2" t="s">
        <v>101</v>
      </c>
    </row>
    <row r="104" spans="1:40" x14ac:dyDescent="0.15">
      <c r="A104" s="15" t="s">
        <v>94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 spans="1:40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spans="1:40" x14ac:dyDescent="0.15">
      <c r="A106" s="2" t="s">
        <v>55</v>
      </c>
      <c r="E106" s="8">
        <v>1990</v>
      </c>
      <c r="F106" s="8">
        <v>1991</v>
      </c>
      <c r="G106" s="8">
        <v>1992</v>
      </c>
      <c r="H106" s="8">
        <v>1993</v>
      </c>
      <c r="I106" s="8">
        <v>1994</v>
      </c>
      <c r="J106" s="8">
        <v>1995</v>
      </c>
      <c r="K106" s="8">
        <v>1996</v>
      </c>
      <c r="L106" s="8">
        <v>1997</v>
      </c>
      <c r="M106" s="8">
        <v>1998</v>
      </c>
      <c r="N106" s="8">
        <v>1999</v>
      </c>
      <c r="O106" s="8">
        <v>2000</v>
      </c>
      <c r="P106" s="8">
        <v>2001</v>
      </c>
      <c r="Q106" s="8">
        <v>2002</v>
      </c>
      <c r="R106" s="8">
        <v>2003</v>
      </c>
      <c r="S106" s="8" t="s">
        <v>0</v>
      </c>
      <c r="T106" s="8" t="s">
        <v>1</v>
      </c>
      <c r="U106" s="8" t="s">
        <v>2</v>
      </c>
      <c r="V106" s="8" t="s">
        <v>3</v>
      </c>
      <c r="W106" s="8" t="s">
        <v>4</v>
      </c>
      <c r="X106" s="8" t="s">
        <v>5</v>
      </c>
      <c r="Y106" s="8" t="s">
        <v>6</v>
      </c>
      <c r="Z106" s="8" t="s">
        <v>7</v>
      </c>
      <c r="AA106" s="8" t="s">
        <v>8</v>
      </c>
      <c r="AB106" s="8" t="s">
        <v>9</v>
      </c>
      <c r="AC106" s="8" t="s">
        <v>10</v>
      </c>
      <c r="AD106" s="8" t="s">
        <v>11</v>
      </c>
      <c r="AE106" s="8" t="s">
        <v>12</v>
      </c>
      <c r="AF106" s="8" t="s">
        <v>13</v>
      </c>
      <c r="AG106" s="8" t="s">
        <v>14</v>
      </c>
      <c r="AH106" s="8" t="s">
        <v>15</v>
      </c>
      <c r="AI106" s="8" t="s">
        <v>16</v>
      </c>
      <c r="AJ106" s="8" t="s">
        <v>17</v>
      </c>
      <c r="AK106" s="8" t="s">
        <v>18</v>
      </c>
      <c r="AL106" s="8" t="s">
        <v>19</v>
      </c>
      <c r="AM106" s="8" t="s">
        <v>20</v>
      </c>
      <c r="AN106" s="8">
        <v>2025</v>
      </c>
    </row>
    <row r="107" spans="1:40" x14ac:dyDescent="0.15">
      <c r="A107" s="2" t="s">
        <v>56</v>
      </c>
      <c r="S107" s="9">
        <f>S7/S59</f>
        <v>1.7545671325428893</v>
      </c>
      <c r="T107" s="9">
        <f t="shared" ref="T107:AM107" si="57">T7/T59</f>
        <v>2.0362814708679569</v>
      </c>
      <c r="U107" s="9">
        <f t="shared" si="57"/>
        <v>2.446680337601276</v>
      </c>
      <c r="V107" s="9">
        <f t="shared" si="57"/>
        <v>2.5448669619681259</v>
      </c>
      <c r="W107" s="9">
        <f t="shared" si="57"/>
        <v>2.463336051787699</v>
      </c>
      <c r="X107" s="9">
        <f t="shared" si="57"/>
        <v>2.3555889595919517</v>
      </c>
      <c r="Y107" s="9">
        <f t="shared" si="57"/>
        <v>2.374410846443427</v>
      </c>
      <c r="Z107" s="9">
        <f t="shared" si="57"/>
        <v>2.2496587497617697</v>
      </c>
      <c r="AA107" s="9">
        <f t="shared" si="57"/>
        <v>2.2392619999322227</v>
      </c>
      <c r="AB107" s="9">
        <f t="shared" si="57"/>
        <v>2.2258739003352028</v>
      </c>
      <c r="AC107" s="9">
        <f t="shared" si="57"/>
        <v>2.2454448887658494</v>
      </c>
      <c r="AD107" s="9">
        <f t="shared" si="57"/>
        <v>2.3181060318396711</v>
      </c>
      <c r="AE107" s="9">
        <f t="shared" si="57"/>
        <v>2.317767318442514</v>
      </c>
      <c r="AF107" s="9">
        <f t="shared" si="57"/>
        <v>2.3358604625011115</v>
      </c>
      <c r="AG107" s="9">
        <f t="shared" si="57"/>
        <v>2.3692474016474558</v>
      </c>
      <c r="AH107" s="9">
        <f t="shared" si="57"/>
        <v>2.375246649511813</v>
      </c>
      <c r="AI107" s="9">
        <f t="shared" si="57"/>
        <v>2.5012797311674881</v>
      </c>
      <c r="AJ107" s="9">
        <f t="shared" si="57"/>
        <v>2.4890582153185918</v>
      </c>
      <c r="AK107" s="9">
        <f t="shared" si="57"/>
        <v>2.3983453359691547</v>
      </c>
      <c r="AL107" s="9">
        <f t="shared" si="57"/>
        <v>2.4887229833098439</v>
      </c>
      <c r="AM107" s="9">
        <f t="shared" si="57"/>
        <v>2.5003003221647062</v>
      </c>
    </row>
    <row r="108" spans="1:40" x14ac:dyDescent="0.15">
      <c r="A108" s="2" t="s">
        <v>57</v>
      </c>
      <c r="B108" s="2" t="s">
        <v>72</v>
      </c>
      <c r="E108" s="9">
        <f>E12/(E9*1000)</f>
        <v>3.7351200222006384</v>
      </c>
      <c r="F108" s="9">
        <f t="shared" ref="F108:AM108" si="58">F12/(F9*1000)</f>
        <v>3.7341493435448578</v>
      </c>
      <c r="G108" s="9">
        <f t="shared" si="58"/>
        <v>3.6975375335120644</v>
      </c>
      <c r="H108" s="9">
        <f t="shared" si="58"/>
        <v>3.7273148645022807</v>
      </c>
      <c r="I108" s="9">
        <f t="shared" si="58"/>
        <v>3.5524463273236924</v>
      </c>
      <c r="J108" s="9">
        <f t="shared" si="58"/>
        <v>3.466458513663905</v>
      </c>
      <c r="K108" s="9">
        <f t="shared" si="58"/>
        <v>3.4001514150093133</v>
      </c>
      <c r="L108" s="9">
        <f t="shared" si="58"/>
        <v>3.3303925451368666</v>
      </c>
      <c r="M108" s="9">
        <f t="shared" si="58"/>
        <v>3.2995497751721783</v>
      </c>
      <c r="N108" s="9">
        <f t="shared" si="58"/>
        <v>3.2553905256757503</v>
      </c>
      <c r="O108" s="9">
        <f t="shared" si="58"/>
        <v>3.1772484544873163</v>
      </c>
      <c r="P108" s="9">
        <f t="shared" si="58"/>
        <v>3.2017293987224833</v>
      </c>
      <c r="Q108" s="9">
        <f t="shared" si="58"/>
        <v>3.2347264701245466</v>
      </c>
      <c r="R108" s="9">
        <f t="shared" si="58"/>
        <v>3.2577010411761629</v>
      </c>
      <c r="S108" s="9">
        <f t="shared" si="58"/>
        <v>3.2030345143555286</v>
      </c>
      <c r="T108" s="9">
        <f t="shared" si="58"/>
        <v>3.1638906848361268</v>
      </c>
      <c r="U108" s="9">
        <f t="shared" si="58"/>
        <v>3.0896019161676649</v>
      </c>
      <c r="V108" s="9">
        <f t="shared" si="58"/>
        <v>3.126614486978796</v>
      </c>
      <c r="W108" s="9">
        <f t="shared" si="58"/>
        <v>3.2041732958605249</v>
      </c>
      <c r="X108" s="9">
        <f t="shared" si="58"/>
        <v>3.423189793463004</v>
      </c>
      <c r="Y108" s="9">
        <f t="shared" si="58"/>
        <v>3.3905907027240425</v>
      </c>
      <c r="Z108" s="9">
        <f t="shared" si="58"/>
        <v>3.34991475888943</v>
      </c>
      <c r="AA108" s="9">
        <f t="shared" si="58"/>
        <v>3.3553119976618442</v>
      </c>
      <c r="AB108" s="9">
        <f t="shared" si="58"/>
        <v>3.322157098246457</v>
      </c>
      <c r="AC108" s="9">
        <f t="shared" si="58"/>
        <v>3.2967136283857501</v>
      </c>
      <c r="AD108" s="9">
        <f t="shared" si="58"/>
        <v>3.2543569968407358</v>
      </c>
      <c r="AE108" s="9">
        <f t="shared" si="58"/>
        <v>3.1893820427296493</v>
      </c>
      <c r="AF108" s="9">
        <f t="shared" si="58"/>
        <v>3.1386892057382787</v>
      </c>
      <c r="AG108" s="9">
        <f t="shared" si="58"/>
        <v>3.130292842114303</v>
      </c>
      <c r="AH108" s="9">
        <f t="shared" si="58"/>
        <v>3.1288682033096928</v>
      </c>
      <c r="AI108" s="9">
        <f t="shared" si="58"/>
        <v>3.2288571305768072</v>
      </c>
      <c r="AJ108" s="9">
        <f t="shared" si="58"/>
        <v>3.076458148357414</v>
      </c>
      <c r="AK108" s="9">
        <f t="shared" si="58"/>
        <v>3.1287170523947285</v>
      </c>
      <c r="AL108" s="9">
        <f t="shared" si="58"/>
        <v>3.1840824314070049</v>
      </c>
      <c r="AM108" s="9">
        <f t="shared" si="58"/>
        <v>3.1311381705905057</v>
      </c>
    </row>
    <row r="109" spans="1:40" x14ac:dyDescent="0.15">
      <c r="A109" s="2" t="s">
        <v>58</v>
      </c>
      <c r="G109" s="9">
        <f>G69*G15/(G59*10^6)</f>
        <v>0.1559660775288349</v>
      </c>
      <c r="H109" s="9">
        <f t="shared" ref="H109:AM109" si="59">H69*H15/(H59*10^6)</f>
        <v>0.15686079884621182</v>
      </c>
      <c r="I109" s="9">
        <f t="shared" si="59"/>
        <v>0.15997409053838565</v>
      </c>
      <c r="J109" s="9">
        <f t="shared" si="59"/>
        <v>0.16654335446002419</v>
      </c>
      <c r="K109" s="9">
        <f t="shared" si="59"/>
        <v>0.17826074008074752</v>
      </c>
      <c r="L109" s="9">
        <f t="shared" si="59"/>
        <v>0.19787561006428214</v>
      </c>
      <c r="M109" s="9">
        <f t="shared" si="59"/>
        <v>0.21647413428642656</v>
      </c>
      <c r="N109" s="9">
        <f t="shared" si="59"/>
        <v>0.23295069657105341</v>
      </c>
      <c r="O109" s="9">
        <f t="shared" si="59"/>
        <v>0.24192175530145843</v>
      </c>
      <c r="P109" s="9">
        <f t="shared" si="59"/>
        <v>0.26089799720109658</v>
      </c>
      <c r="Q109" s="9">
        <f t="shared" si="59"/>
        <v>0.27772499277611656</v>
      </c>
      <c r="R109" s="9">
        <f t="shared" si="59"/>
        <v>0.2892546551074654</v>
      </c>
      <c r="S109" s="9">
        <f t="shared" si="59"/>
        <v>0.31533753653504931</v>
      </c>
      <c r="T109" s="9">
        <f t="shared" si="59"/>
        <v>0.38900896411204577</v>
      </c>
      <c r="U109" s="9">
        <f t="shared" si="59"/>
        <v>0.47663367537450829</v>
      </c>
      <c r="V109" s="9">
        <f t="shared" si="59"/>
        <v>0.46569022967545315</v>
      </c>
      <c r="W109" s="9">
        <f t="shared" si="59"/>
        <v>0.42064792545381791</v>
      </c>
      <c r="X109" s="9">
        <f t="shared" si="59"/>
        <v>0.37675913027033864</v>
      </c>
      <c r="Y109" s="9">
        <f t="shared" si="59"/>
        <v>0.40642860338717296</v>
      </c>
      <c r="Z109" s="9">
        <f t="shared" si="59"/>
        <v>0.39202814090266291</v>
      </c>
      <c r="AA109" s="9">
        <f t="shared" si="59"/>
        <v>0.37408827394916938</v>
      </c>
      <c r="AB109" s="9">
        <f t="shared" si="59"/>
        <v>0.38570418765758352</v>
      </c>
      <c r="AC109" s="9">
        <f t="shared" si="59"/>
        <v>0.40196105629947548</v>
      </c>
      <c r="AD109" s="9">
        <f t="shared" si="59"/>
        <v>0.43306513644399552</v>
      </c>
      <c r="AE109" s="9">
        <f t="shared" si="59"/>
        <v>0.44851619403589232</v>
      </c>
      <c r="AF109" s="9">
        <f t="shared" si="59"/>
        <v>0.46797076776274094</v>
      </c>
      <c r="AG109" s="9">
        <f t="shared" si="59"/>
        <v>0.49149083605292576</v>
      </c>
      <c r="AH109" s="9">
        <f t="shared" si="59"/>
        <v>0.50635220801632719</v>
      </c>
      <c r="AI109" s="9">
        <f t="shared" si="59"/>
        <v>0.55737998683649226</v>
      </c>
      <c r="AJ109" s="9">
        <f t="shared" si="59"/>
        <v>0.62657276602131418</v>
      </c>
      <c r="AK109" s="9">
        <f t="shared" si="59"/>
        <v>0.64398108924071784</v>
      </c>
      <c r="AL109" s="9">
        <f t="shared" si="59"/>
        <v>0.61797562908673098</v>
      </c>
      <c r="AM109" s="9">
        <f t="shared" si="59"/>
        <v>0.64527596201767623</v>
      </c>
    </row>
    <row r="110" spans="1:40" x14ac:dyDescent="0.15">
      <c r="A110" s="2" t="s">
        <v>59</v>
      </c>
      <c r="G110" s="9">
        <f>G71*G17/(G59*10^6)</f>
        <v>2.6059448384467641</v>
      </c>
      <c r="H110" s="9">
        <f t="shared" ref="H110:AM110" si="60">H71*H17/(H59*10^6)</f>
        <v>2.6983303540202082</v>
      </c>
      <c r="I110" s="9">
        <f t="shared" si="60"/>
        <v>2.7394088119671474</v>
      </c>
      <c r="J110" s="9">
        <f t="shared" si="60"/>
        <v>2.8188635387905849</v>
      </c>
      <c r="K110" s="9">
        <f t="shared" si="60"/>
        <v>3.0799433121183304</v>
      </c>
      <c r="L110" s="9">
        <f t="shared" si="60"/>
        <v>3.3279284508692459</v>
      </c>
      <c r="M110" s="9">
        <f t="shared" si="60"/>
        <v>3.5656615345804421</v>
      </c>
      <c r="N110" s="9">
        <f t="shared" si="60"/>
        <v>3.7702678282985738</v>
      </c>
      <c r="O110" s="9">
        <f t="shared" si="60"/>
        <v>3.8505145885545442</v>
      </c>
      <c r="P110" s="9">
        <f t="shared" si="60"/>
        <v>4.016922793621486</v>
      </c>
      <c r="Q110" s="9">
        <f t="shared" si="60"/>
        <v>4.160498602021093</v>
      </c>
      <c r="R110" s="9">
        <f t="shared" si="60"/>
        <v>4.3360163174116018</v>
      </c>
      <c r="S110" s="9">
        <f t="shared" si="60"/>
        <v>4.6023209409003352</v>
      </c>
      <c r="T110" s="9">
        <f t="shared" si="60"/>
        <v>5.2008091841242798</v>
      </c>
      <c r="U110" s="9">
        <f t="shared" si="60"/>
        <v>6.1401499210657811</v>
      </c>
      <c r="V110" s="9">
        <f t="shared" si="60"/>
        <v>1.9313391092080034</v>
      </c>
      <c r="W110" s="9">
        <f t="shared" si="60"/>
        <v>1.9217384278956249</v>
      </c>
      <c r="X110" s="9">
        <f t="shared" si="60"/>
        <v>1.8451948378804073</v>
      </c>
      <c r="Y110" s="9">
        <f t="shared" si="60"/>
        <v>1.8375316849994798</v>
      </c>
      <c r="Z110" s="9">
        <f t="shared" si="60"/>
        <v>1.7442920956415877</v>
      </c>
      <c r="AA110" s="9">
        <f t="shared" si="60"/>
        <v>1.6789024810747883</v>
      </c>
      <c r="AB110" s="9">
        <f t="shared" si="60"/>
        <v>1.6651112017799576</v>
      </c>
      <c r="AC110" s="9">
        <f t="shared" si="60"/>
        <v>1.6614643970000458</v>
      </c>
      <c r="AD110" s="9">
        <f t="shared" si="60"/>
        <v>1.7296035299873913</v>
      </c>
      <c r="AE110" s="9">
        <f t="shared" si="60"/>
        <v>1.7407732556595568</v>
      </c>
      <c r="AF110" s="9">
        <f t="shared" si="60"/>
        <v>1.7674680790875175</v>
      </c>
      <c r="AG110" s="9">
        <f t="shared" si="60"/>
        <v>1.8252994575460713</v>
      </c>
      <c r="AH110" s="9">
        <f t="shared" si="60"/>
        <v>1.8613262159271693</v>
      </c>
      <c r="AI110" s="9">
        <f t="shared" si="60"/>
        <v>1.9795274492350905</v>
      </c>
      <c r="AJ110" s="9">
        <f t="shared" si="60"/>
        <v>2.0523862641601149</v>
      </c>
      <c r="AK110" s="9">
        <f t="shared" si="60"/>
        <v>2.0859014174758932</v>
      </c>
      <c r="AL110" s="9">
        <f t="shared" si="60"/>
        <v>2.0489967719121158</v>
      </c>
      <c r="AM110" s="9">
        <f t="shared" si="60"/>
        <v>2.0814206515082421</v>
      </c>
    </row>
    <row r="112" spans="1:40" x14ac:dyDescent="0.15">
      <c r="A112" s="2" t="s">
        <v>60</v>
      </c>
    </row>
    <row r="113" spans="1:39" x14ac:dyDescent="0.15">
      <c r="A113" s="2" t="s">
        <v>90</v>
      </c>
      <c r="B113" s="2" t="s">
        <v>93</v>
      </c>
      <c r="E113" s="9">
        <v>0.1953</v>
      </c>
      <c r="F113" s="9">
        <v>0.20710000000000001</v>
      </c>
      <c r="G113" s="9">
        <v>0.19420000000000001</v>
      </c>
      <c r="H113" s="9">
        <v>0.21279999999999999</v>
      </c>
      <c r="I113" s="9">
        <v>0.20219999999999999</v>
      </c>
      <c r="J113" s="9">
        <v>0.1968</v>
      </c>
      <c r="K113" s="9">
        <v>0.20080000000000001</v>
      </c>
      <c r="L113" s="9">
        <v>0.22359999999999999</v>
      </c>
      <c r="M113" s="9">
        <v>0.22500000000000001</v>
      </c>
      <c r="N113" s="9">
        <v>0.24079999999999999</v>
      </c>
      <c r="O113" s="9">
        <v>0.23080000000000001</v>
      </c>
      <c r="P113" s="9">
        <v>0.19359999999999999</v>
      </c>
      <c r="Q113" s="9">
        <v>0.1794</v>
      </c>
      <c r="R113" s="9">
        <v>0.1762</v>
      </c>
      <c r="S113" s="9">
        <v>0.1908</v>
      </c>
      <c r="T113" s="9">
        <v>0.21529999999999999</v>
      </c>
      <c r="U113" s="9">
        <v>0.21579999999999999</v>
      </c>
      <c r="V113" s="9">
        <v>0.2102</v>
      </c>
      <c r="W113" s="9">
        <v>0.17449999999999999</v>
      </c>
      <c r="X113" s="9">
        <v>0.19109999999999999</v>
      </c>
      <c r="Y113" s="9">
        <v>0.20630000000000001</v>
      </c>
      <c r="Z113" s="9">
        <v>0.191</v>
      </c>
      <c r="AA113" s="9">
        <v>0.1953</v>
      </c>
      <c r="AB113" s="9">
        <v>0.20319999999999999</v>
      </c>
      <c r="AC113" s="9">
        <v>0.20960000000000001</v>
      </c>
      <c r="AD113" s="9">
        <v>0.20649999999999999</v>
      </c>
      <c r="AE113" s="9">
        <v>0.20830000000000001</v>
      </c>
      <c r="AF113" s="9">
        <v>0.21340000000000001</v>
      </c>
      <c r="AG113" s="9">
        <v>0.2152</v>
      </c>
      <c r="AH113" s="9">
        <v>0.2107</v>
      </c>
      <c r="AI113" s="9">
        <v>0.2107</v>
      </c>
      <c r="AJ113" s="9">
        <v>0.21609999999999999</v>
      </c>
      <c r="AK113" s="9">
        <v>0.2147</v>
      </c>
      <c r="AL113" s="9">
        <v>0.20549999999999999</v>
      </c>
      <c r="AM113" s="9">
        <v>0.20760000000000001</v>
      </c>
    </row>
    <row r="114" spans="1:39" x14ac:dyDescent="0.15">
      <c r="A114" s="2" t="s">
        <v>91</v>
      </c>
      <c r="B114" s="2" t="s">
        <v>93</v>
      </c>
      <c r="E114" s="9">
        <v>0.5323</v>
      </c>
      <c r="F114" s="9">
        <v>0.54069999999999996</v>
      </c>
      <c r="G114" s="9">
        <v>0.54330000000000001</v>
      </c>
      <c r="H114" s="9">
        <v>0.54649999999999999</v>
      </c>
      <c r="I114" s="9">
        <v>0.5333</v>
      </c>
      <c r="J114" s="9">
        <v>0.52259999999999995</v>
      </c>
      <c r="K114" s="9">
        <v>0.52569999999999995</v>
      </c>
      <c r="L114" s="9">
        <v>0.55089999999999995</v>
      </c>
      <c r="M114" s="9">
        <v>0.55049999999999999</v>
      </c>
      <c r="N114" s="9">
        <v>0.55630000000000002</v>
      </c>
      <c r="O114" s="9">
        <v>0.54249999999999998</v>
      </c>
      <c r="P114" s="9">
        <v>0.51970000000000005</v>
      </c>
      <c r="Q114" s="9">
        <v>0.51259999999999994</v>
      </c>
      <c r="R114" s="9">
        <v>0.50629999999999997</v>
      </c>
      <c r="S114" s="9">
        <v>0.50980000000000003</v>
      </c>
      <c r="T114" s="9">
        <v>0.51649999999999996</v>
      </c>
      <c r="U114" s="9">
        <v>0.51180000000000003</v>
      </c>
      <c r="V114" s="9">
        <v>0.5111</v>
      </c>
      <c r="W114" s="9">
        <v>0.48909999999999998</v>
      </c>
      <c r="X114" s="9">
        <v>0.50919999999999999</v>
      </c>
      <c r="Y114" s="9">
        <v>0.51070000000000004</v>
      </c>
      <c r="Z114" s="9">
        <v>0.50060000000000004</v>
      </c>
      <c r="AA114" s="9">
        <v>0.49380000000000002</v>
      </c>
      <c r="AB114" s="9">
        <v>0.49959999999999999</v>
      </c>
      <c r="AC114" s="9">
        <v>0.50409999999999999</v>
      </c>
      <c r="AD114" s="9">
        <v>0.50180000000000002</v>
      </c>
      <c r="AE114" s="9">
        <v>0.50319999999999998</v>
      </c>
      <c r="AF114" s="9">
        <v>0.50639999999999996</v>
      </c>
      <c r="AG114" s="9">
        <v>0.50749999999999995</v>
      </c>
      <c r="AH114" s="9">
        <v>0.50449999999999995</v>
      </c>
      <c r="AI114" s="9">
        <v>0.50449999999999995</v>
      </c>
      <c r="AJ114" s="9">
        <v>0.50790000000000002</v>
      </c>
      <c r="AK114" s="9">
        <v>0.5071</v>
      </c>
      <c r="AL114" s="9">
        <v>0.50129999999999997</v>
      </c>
      <c r="AM114" s="9">
        <v>0.50260000000000005</v>
      </c>
    </row>
    <row r="115" spans="1:39" x14ac:dyDescent="0.15">
      <c r="A115" s="2" t="s">
        <v>92</v>
      </c>
      <c r="B115" s="2" t="s">
        <v>93</v>
      </c>
      <c r="E115" s="9">
        <v>-9.5999999999999992E-3</v>
      </c>
      <c r="F115" s="9">
        <v>-3.7000000000000002E-3</v>
      </c>
      <c r="G115" s="9">
        <v>-7.4000000000000003E-3</v>
      </c>
      <c r="H115" s="9">
        <v>8.6E-3</v>
      </c>
      <c r="I115" s="9">
        <v>1.7899999999999999E-2</v>
      </c>
      <c r="J115" s="9">
        <v>2.6599999999999999E-2</v>
      </c>
      <c r="K115" s="9">
        <v>2.5999999999999999E-2</v>
      </c>
      <c r="L115" s="9">
        <v>1.89E-2</v>
      </c>
      <c r="M115" s="9">
        <v>1.83E-2</v>
      </c>
      <c r="N115" s="9">
        <v>2.5000000000000001E-2</v>
      </c>
      <c r="O115" s="9">
        <v>3.5400000000000001E-2</v>
      </c>
      <c r="P115" s="9">
        <v>3.2099999999999997E-2</v>
      </c>
      <c r="Q115" s="9">
        <v>2.29E-2</v>
      </c>
      <c r="R115" s="9">
        <v>3.4099999999999998E-2</v>
      </c>
      <c r="S115" s="9">
        <v>4.1799999999999997E-2</v>
      </c>
      <c r="T115" s="9">
        <v>5.1999999999999998E-2</v>
      </c>
      <c r="U115" s="9">
        <v>5.5500000000000001E-2</v>
      </c>
      <c r="V115" s="9">
        <v>5.3499999999999999E-2</v>
      </c>
      <c r="W115" s="9">
        <v>4.7899999999999998E-2</v>
      </c>
      <c r="X115" s="9">
        <v>2.9899999999999999E-2</v>
      </c>
      <c r="Y115" s="9">
        <v>3.4599999999999999E-2</v>
      </c>
      <c r="Z115" s="9">
        <v>2.9499999999999998E-2</v>
      </c>
      <c r="AA115" s="9">
        <v>4.1300000000000003E-2</v>
      </c>
      <c r="AB115" s="9">
        <v>4.07E-2</v>
      </c>
      <c r="AC115" s="9">
        <v>4.0300000000000002E-2</v>
      </c>
      <c r="AD115" s="9">
        <v>4.0500000000000001E-2</v>
      </c>
      <c r="AE115" s="9">
        <v>4.0399999999999998E-2</v>
      </c>
      <c r="AF115" s="9">
        <v>4.0099999999999997E-2</v>
      </c>
      <c r="AG115" s="9">
        <v>4.0099999999999997E-2</v>
      </c>
      <c r="AH115" s="9">
        <v>4.0300000000000002E-2</v>
      </c>
      <c r="AI115" s="9">
        <v>4.0300000000000002E-2</v>
      </c>
      <c r="AJ115" s="9">
        <v>0.04</v>
      </c>
      <c r="AK115" s="9">
        <v>4.0099999999999997E-2</v>
      </c>
      <c r="AL115" s="9">
        <v>4.0599999999999997E-2</v>
      </c>
      <c r="AM115" s="9">
        <v>4.0500000000000001E-2</v>
      </c>
    </row>
    <row r="117" spans="1:39" x14ac:dyDescent="0.15">
      <c r="A117" s="2" t="s">
        <v>61</v>
      </c>
    </row>
    <row r="118" spans="1:39" x14ac:dyDescent="0.15">
      <c r="A118" s="2" t="s">
        <v>62</v>
      </c>
      <c r="G118" s="9">
        <f>G16/G18</f>
        <v>1.3569250742569388</v>
      </c>
      <c r="H118" s="9">
        <f t="shared" ref="H118:AM118" si="61">H16/H18</f>
        <v>1.3160020774424375</v>
      </c>
      <c r="I118" s="9">
        <f t="shared" si="61"/>
        <v>1.2870884069457456</v>
      </c>
      <c r="J118" s="9">
        <f t="shared" si="61"/>
        <v>1.3053103870762808</v>
      </c>
      <c r="K118" s="9">
        <f t="shared" si="61"/>
        <v>1.3842082421314816</v>
      </c>
      <c r="L118" s="9">
        <f t="shared" si="61"/>
        <v>1.4580502034301583</v>
      </c>
      <c r="M118" s="9">
        <f t="shared" si="61"/>
        <v>1.5461488904240375</v>
      </c>
      <c r="N118" s="9">
        <f t="shared" si="61"/>
        <v>1.5678470239775337</v>
      </c>
      <c r="O118" s="9">
        <f t="shared" si="61"/>
        <v>1.6166215398552561</v>
      </c>
      <c r="P118" s="9">
        <f t="shared" si="61"/>
        <v>1.7283879403168743</v>
      </c>
      <c r="Q118" s="9">
        <f t="shared" si="61"/>
        <v>1.7650397449939101</v>
      </c>
      <c r="R118" s="9">
        <f t="shared" si="61"/>
        <v>1.76149093224536</v>
      </c>
      <c r="S118" s="9">
        <f t="shared" si="61"/>
        <v>1.8502164525575473</v>
      </c>
      <c r="T118" s="9">
        <f t="shared" si="61"/>
        <v>2.0257197142457697</v>
      </c>
      <c r="U118" s="9">
        <f t="shared" si="61"/>
        <v>2.0618068854941436</v>
      </c>
      <c r="V118" s="9">
        <f t="shared" si="61"/>
        <v>1.9210604429598845</v>
      </c>
      <c r="W118" s="9">
        <f t="shared" si="61"/>
        <v>1.8836845078298718</v>
      </c>
      <c r="X118" s="9">
        <f t="shared" si="61"/>
        <v>1.7156661128210717</v>
      </c>
      <c r="Y118" s="9">
        <f t="shared" si="61"/>
        <v>1.9321060492288904</v>
      </c>
      <c r="Z118" s="9">
        <f t="shared" si="61"/>
        <v>1.9999655749626701</v>
      </c>
      <c r="AA118" s="9">
        <f t="shared" si="61"/>
        <v>2.0339252067324369</v>
      </c>
      <c r="AB118" s="9">
        <f t="shared" si="61"/>
        <v>2.1800428962620897</v>
      </c>
      <c r="AC118" s="9">
        <f t="shared" si="61"/>
        <v>2.3042575285565938</v>
      </c>
      <c r="AD118" s="9">
        <f t="shared" si="61"/>
        <v>2.3840807151662058</v>
      </c>
      <c r="AE118" s="9">
        <f t="shared" si="61"/>
        <v>2.4050256161975323</v>
      </c>
      <c r="AF118" s="9">
        <f t="shared" si="61"/>
        <v>2.4853062580063576</v>
      </c>
      <c r="AG118" s="9">
        <f t="shared" si="61"/>
        <v>2.5262741080607838</v>
      </c>
      <c r="AH118" s="9">
        <f t="shared" si="61"/>
        <v>2.5064273698391482</v>
      </c>
      <c r="AI118" s="9">
        <f t="shared" si="61"/>
        <v>2.5524048136792774</v>
      </c>
      <c r="AJ118" s="9">
        <f t="shared" si="61"/>
        <v>2.7304754118207999</v>
      </c>
      <c r="AK118" s="9">
        <f t="shared" si="61"/>
        <v>2.7439452452421387</v>
      </c>
      <c r="AL118" s="9">
        <f t="shared" si="61"/>
        <v>2.6781371020162776</v>
      </c>
      <c r="AM118" s="9">
        <f t="shared" si="61"/>
        <v>2.8203118271564933</v>
      </c>
    </row>
    <row r="119" spans="1:39" x14ac:dyDescent="0.15">
      <c r="A119" s="2" t="s">
        <v>63</v>
      </c>
      <c r="G119" s="9">
        <f>H119</f>
        <v>0.11674059405787958</v>
      </c>
      <c r="H119" s="9">
        <f>H21/H19</f>
        <v>0.11674059405787958</v>
      </c>
      <c r="I119" s="9">
        <f t="shared" ref="I119:AM119" si="62">I21/I19</f>
        <v>0.11677568040497824</v>
      </c>
      <c r="J119" s="9">
        <f t="shared" si="62"/>
        <v>0.1173291627990123</v>
      </c>
      <c r="K119" s="9">
        <f t="shared" si="62"/>
        <v>0.11790198340850735</v>
      </c>
      <c r="L119" s="9">
        <f t="shared" si="62"/>
        <v>0.11862484775056846</v>
      </c>
      <c r="M119" s="9">
        <f t="shared" si="62"/>
        <v>0.11893640647990121</v>
      </c>
      <c r="N119" s="9">
        <f t="shared" si="62"/>
        <v>0.11943315272428463</v>
      </c>
      <c r="O119" s="9">
        <f t="shared" si="62"/>
        <v>0.11992452548856972</v>
      </c>
      <c r="P119" s="9">
        <f t="shared" si="62"/>
        <v>0.11999604277166513</v>
      </c>
      <c r="Q119" s="9">
        <f t="shared" si="62"/>
        <v>0.11990066178966902</v>
      </c>
      <c r="R119" s="9">
        <f t="shared" si="62"/>
        <v>0.11976537432547345</v>
      </c>
      <c r="S119" s="9">
        <f t="shared" si="62"/>
        <v>0.11960377861352128</v>
      </c>
      <c r="T119" s="9">
        <f t="shared" si="62"/>
        <v>0.11929260159389239</v>
      </c>
      <c r="U119" s="9">
        <f t="shared" si="62"/>
        <v>0.11900313348621862</v>
      </c>
      <c r="V119" s="9">
        <f t="shared" si="62"/>
        <v>0.11950811653141098</v>
      </c>
      <c r="W119" s="9">
        <f t="shared" si="62"/>
        <v>0.12041215964532001</v>
      </c>
      <c r="X119" s="9">
        <f t="shared" si="62"/>
        <v>0.12182422443970109</v>
      </c>
      <c r="Y119" s="9">
        <f t="shared" si="62"/>
        <v>0.12359169573002524</v>
      </c>
      <c r="Z119" s="9">
        <f t="shared" si="62"/>
        <v>0.12537402070620998</v>
      </c>
      <c r="AA119" s="9">
        <f t="shared" si="62"/>
        <v>0.12701989171437925</v>
      </c>
      <c r="AB119" s="9">
        <f t="shared" si="62"/>
        <v>0.12871800234551634</v>
      </c>
      <c r="AC119" s="9">
        <f t="shared" si="62"/>
        <v>0.13006399573302713</v>
      </c>
      <c r="AD119" s="9">
        <f t="shared" si="62"/>
        <v>0.13133633051524088</v>
      </c>
      <c r="AE119" s="9">
        <f t="shared" si="62"/>
        <v>0.13242186081715529</v>
      </c>
      <c r="AF119" s="9">
        <f t="shared" si="62"/>
        <v>0.13355303452514206</v>
      </c>
      <c r="AG119" s="9">
        <f t="shared" si="62"/>
        <v>0.13460800280572494</v>
      </c>
      <c r="AH119" s="9">
        <f t="shared" si="62"/>
        <v>0.13582691243162212</v>
      </c>
      <c r="AI119" s="9">
        <f t="shared" si="62"/>
        <v>0.13661313449415863</v>
      </c>
      <c r="AJ119" s="9">
        <f t="shared" si="62"/>
        <v>0.13686684590446194</v>
      </c>
      <c r="AK119" s="9">
        <f t="shared" si="62"/>
        <v>0.13727872463444221</v>
      </c>
      <c r="AL119" s="9">
        <f t="shared" si="62"/>
        <v>0.1379150626926387</v>
      </c>
      <c r="AM119" s="9">
        <f t="shared" si="62"/>
        <v>0.13848818248408934</v>
      </c>
    </row>
    <row r="120" spans="1:39" x14ac:dyDescent="0.15">
      <c r="A120" s="2" t="s">
        <v>86</v>
      </c>
      <c r="E120" s="9">
        <f>E69/(E49*10^6)</f>
        <v>0.16838318611595765</v>
      </c>
      <c r="F120" s="9">
        <f t="shared" ref="F120:AM120" si="63">F69/(F49*10^6)</f>
        <v>0.16870360538653989</v>
      </c>
      <c r="G120" s="9">
        <f t="shared" si="63"/>
        <v>0.16976916722378671</v>
      </c>
      <c r="H120" s="9">
        <f t="shared" si="63"/>
        <v>0.16934623467871326</v>
      </c>
      <c r="I120" s="9">
        <f t="shared" si="63"/>
        <v>0.1694930497852884</v>
      </c>
      <c r="J120" s="9">
        <f t="shared" si="63"/>
        <v>0.17000305037740099</v>
      </c>
      <c r="K120" s="9">
        <f t="shared" si="63"/>
        <v>0.17090439023805037</v>
      </c>
      <c r="L120" s="9">
        <f t="shared" si="63"/>
        <v>0.1711902292401577</v>
      </c>
      <c r="M120" s="9">
        <f t="shared" si="63"/>
        <v>0.17162023573310109</v>
      </c>
      <c r="N120" s="9">
        <f t="shared" si="63"/>
        <v>0.17186319780177675</v>
      </c>
      <c r="O120" s="9">
        <f t="shared" si="63"/>
        <v>0.17225946885635834</v>
      </c>
      <c r="P120" s="9">
        <f t="shared" si="63"/>
        <v>0.17269246715508682</v>
      </c>
      <c r="Q120" s="9">
        <f t="shared" si="63"/>
        <v>0.17311156787810886</v>
      </c>
      <c r="R120" s="9">
        <f t="shared" si="63"/>
        <v>0.17360434934022428</v>
      </c>
      <c r="S120" s="9">
        <f t="shared" si="63"/>
        <v>0.17399142354049787</v>
      </c>
      <c r="T120" s="9">
        <f t="shared" si="63"/>
        <v>0.17426720160279693</v>
      </c>
      <c r="U120" s="9">
        <f t="shared" si="63"/>
        <v>0.17486517043129995</v>
      </c>
      <c r="V120" s="9">
        <f t="shared" si="63"/>
        <v>0.17619754213426075</v>
      </c>
      <c r="W120" s="9">
        <f t="shared" si="63"/>
        <v>0.17793314330734997</v>
      </c>
      <c r="X120" s="9">
        <f t="shared" si="63"/>
        <v>0.17923178197887232</v>
      </c>
      <c r="Y120" s="9">
        <f t="shared" si="63"/>
        <v>0.17983969621486046</v>
      </c>
      <c r="Z120" s="9">
        <f t="shared" si="63"/>
        <v>0.19452095808383235</v>
      </c>
      <c r="AA120" s="9">
        <f t="shared" si="63"/>
        <v>0.19521531100478468</v>
      </c>
      <c r="AB120" s="9">
        <f t="shared" si="63"/>
        <v>0.19339622641509435</v>
      </c>
      <c r="AC120" s="9">
        <f t="shared" si="63"/>
        <v>0.18423870607919687</v>
      </c>
      <c r="AD120" s="9">
        <f t="shared" si="63"/>
        <v>0.18611188577165483</v>
      </c>
      <c r="AE120" s="9">
        <f t="shared" si="63"/>
        <v>0.18797013428428147</v>
      </c>
      <c r="AF120" s="9">
        <f t="shared" si="63"/>
        <v>0.19078346149559794</v>
      </c>
      <c r="AG120" s="9">
        <f t="shared" si="63"/>
        <v>0.19461880912632165</v>
      </c>
      <c r="AH120" s="9">
        <f t="shared" si="63"/>
        <v>0.19758620689655174</v>
      </c>
      <c r="AI120" s="9">
        <f t="shared" si="63"/>
        <v>0.19786026200873363</v>
      </c>
      <c r="AJ120" s="9">
        <f t="shared" si="63"/>
        <v>0.20072052401746726</v>
      </c>
      <c r="AK120" s="9">
        <f t="shared" si="63"/>
        <v>0.2040065502183406</v>
      </c>
      <c r="AL120" s="9">
        <f t="shared" si="63"/>
        <v>0.20598253275109171</v>
      </c>
      <c r="AM120" s="9">
        <f t="shared" si="63"/>
        <v>0.20746195652173913</v>
      </c>
    </row>
    <row r="121" spans="1:39" x14ac:dyDescent="0.15">
      <c r="A121" s="2" t="s">
        <v>64</v>
      </c>
      <c r="E121" s="9">
        <f>E71/(E51*10^6)</f>
        <v>1.8138648588801525E-2</v>
      </c>
      <c r="F121" s="9">
        <f t="shared" ref="F121:AM121" si="64">F71/(F51*10^6)</f>
        <v>1.831317138633216E-2</v>
      </c>
      <c r="G121" s="9">
        <f t="shared" si="64"/>
        <v>1.8439189395271571E-2</v>
      </c>
      <c r="H121" s="9">
        <f t="shared" si="64"/>
        <v>1.8558127014287076E-2</v>
      </c>
      <c r="I121" s="9">
        <f t="shared" si="64"/>
        <v>1.866335980219351E-2</v>
      </c>
      <c r="J121" s="9">
        <f t="shared" si="64"/>
        <v>1.8776782941059243E-2</v>
      </c>
      <c r="K121" s="9">
        <f t="shared" si="64"/>
        <v>1.8891750676100546E-2</v>
      </c>
      <c r="L121" s="9">
        <f t="shared" si="64"/>
        <v>1.9034385864923242E-2</v>
      </c>
      <c r="M121" s="9">
        <f t="shared" si="64"/>
        <v>1.9198172288245243E-2</v>
      </c>
      <c r="N121" s="9">
        <f t="shared" si="64"/>
        <v>1.9381523565251937E-2</v>
      </c>
      <c r="O121" s="9">
        <f t="shared" si="64"/>
        <v>1.9561685510320701E-2</v>
      </c>
      <c r="P121" s="9">
        <f t="shared" si="64"/>
        <v>1.9750067514322154E-2</v>
      </c>
      <c r="Q121" s="9">
        <f t="shared" si="64"/>
        <v>1.9926137030026457E-2</v>
      </c>
      <c r="R121" s="9">
        <f t="shared" si="64"/>
        <v>2.0098910552182467E-2</v>
      </c>
      <c r="S121" s="9">
        <f t="shared" si="64"/>
        <v>2.0302787105454925E-2</v>
      </c>
      <c r="T121" s="9">
        <f t="shared" si="64"/>
        <v>2.0492491395125156E-2</v>
      </c>
      <c r="U121" s="9">
        <f t="shared" si="64"/>
        <v>2.0691989236524828E-2</v>
      </c>
      <c r="V121" s="9">
        <f t="shared" si="64"/>
        <v>6.1493166673380973E-3</v>
      </c>
      <c r="W121" s="9">
        <f t="shared" si="64"/>
        <v>6.2138632934749119E-3</v>
      </c>
      <c r="X121" s="9">
        <f t="shared" si="64"/>
        <v>6.2634325761716583E-3</v>
      </c>
      <c r="Y121" s="9">
        <f t="shared" si="64"/>
        <v>6.2986057244666643E-3</v>
      </c>
      <c r="Z121" s="9">
        <f t="shared" si="64"/>
        <v>6.3468902433315546E-3</v>
      </c>
      <c r="AA121" s="9">
        <f t="shared" si="64"/>
        <v>6.3850608072051141E-3</v>
      </c>
      <c r="AB121" s="9">
        <f t="shared" si="64"/>
        <v>6.427884649125885E-3</v>
      </c>
      <c r="AC121" s="9">
        <f t="shared" si="64"/>
        <v>6.4714814130264406E-3</v>
      </c>
      <c r="AD121" s="9">
        <f t="shared" si="64"/>
        <v>6.5067246487479947E-3</v>
      </c>
      <c r="AE121" s="9">
        <f t="shared" si="64"/>
        <v>6.5431868579953348E-3</v>
      </c>
      <c r="AF121" s="9">
        <f t="shared" si="64"/>
        <v>6.5871311302470037E-3</v>
      </c>
      <c r="AG121" s="9">
        <f t="shared" si="64"/>
        <v>6.6450470594839363E-3</v>
      </c>
      <c r="AH121" s="9">
        <f t="shared" si="64"/>
        <v>6.7013190514055845E-3</v>
      </c>
      <c r="AI121" s="9">
        <f t="shared" si="64"/>
        <v>6.7789816350059739E-3</v>
      </c>
      <c r="AJ121" s="9">
        <f t="shared" si="64"/>
        <v>6.8573887259785141E-3</v>
      </c>
      <c r="AK121" s="9">
        <f t="shared" si="64"/>
        <v>6.9369550527381514E-3</v>
      </c>
      <c r="AL121" s="9">
        <f t="shared" si="64"/>
        <v>7.0247236303099458E-3</v>
      </c>
      <c r="AM121" s="9">
        <f t="shared" si="64"/>
        <v>7.1031232026036823E-3</v>
      </c>
    </row>
    <row r="123" spans="1:39" x14ac:dyDescent="0.15">
      <c r="A123" s="2" t="s">
        <v>65</v>
      </c>
    </row>
    <row r="124" spans="1:39" x14ac:dyDescent="0.15">
      <c r="A124" s="2" t="s">
        <v>66</v>
      </c>
      <c r="E124" s="9">
        <f>E61/E59</f>
        <v>0.16059451227007765</v>
      </c>
      <c r="F124" s="9">
        <f t="shared" ref="F124:AM124" si="65">F61/F59</f>
        <v>0.15219795248530563</v>
      </c>
      <c r="G124" s="9">
        <f t="shared" si="65"/>
        <v>0.15139399759600625</v>
      </c>
      <c r="H124" s="9">
        <f t="shared" si="65"/>
        <v>0.13956704847738344</v>
      </c>
      <c r="I124" s="9">
        <f t="shared" si="65"/>
        <v>0.15045155431565985</v>
      </c>
      <c r="J124" s="9">
        <f t="shared" si="65"/>
        <v>0.16730351670648316</v>
      </c>
      <c r="K124" s="9">
        <f t="shared" si="65"/>
        <v>0.16429920161327444</v>
      </c>
      <c r="L124" s="9">
        <f t="shared" si="65"/>
        <v>0.18203782130457105</v>
      </c>
      <c r="M124" s="9">
        <f t="shared" si="65"/>
        <v>0.18851307268358422</v>
      </c>
      <c r="N124" s="9">
        <f t="shared" si="65"/>
        <v>0.17424230299813484</v>
      </c>
      <c r="O124" s="9">
        <f t="shared" si="65"/>
        <v>0.1876645824396441</v>
      </c>
      <c r="P124" s="9">
        <f t="shared" si="65"/>
        <v>0.18307987126737776</v>
      </c>
      <c r="Q124" s="9">
        <f t="shared" si="65"/>
        <v>0.17988804848837128</v>
      </c>
      <c r="R124" s="9">
        <f t="shared" si="65"/>
        <v>0.17837683845762087</v>
      </c>
      <c r="S124" s="9">
        <f t="shared" si="65"/>
        <v>0.18538097297400127</v>
      </c>
      <c r="T124" s="9">
        <f t="shared" si="65"/>
        <v>0.1914784738285783</v>
      </c>
      <c r="U124" s="9">
        <f t="shared" si="65"/>
        <v>0.20783452896208851</v>
      </c>
      <c r="V124" s="9">
        <f t="shared" si="65"/>
        <v>0.21142236984906329</v>
      </c>
      <c r="W124" s="9">
        <f t="shared" si="65"/>
        <v>0.2031671953561574</v>
      </c>
      <c r="X124" s="9">
        <f t="shared" si="65"/>
        <v>0.16750395618440977</v>
      </c>
      <c r="Y124" s="9">
        <f t="shared" si="65"/>
        <v>0.16167469180525298</v>
      </c>
      <c r="Z124" s="9">
        <f t="shared" si="65"/>
        <v>0.16959840051936903</v>
      </c>
      <c r="AA124" s="9">
        <f t="shared" si="65"/>
        <v>0.17211140165828323</v>
      </c>
      <c r="AB124" s="9">
        <f t="shared" si="65"/>
        <v>0.1752165792745215</v>
      </c>
      <c r="AC124" s="9">
        <f t="shared" si="65"/>
        <v>0.18363343866577073</v>
      </c>
      <c r="AD124" s="9">
        <f t="shared" si="65"/>
        <v>0.18731942955312175</v>
      </c>
      <c r="AE124" s="9">
        <f t="shared" si="65"/>
        <v>0.19563608643211453</v>
      </c>
      <c r="AF124" s="9">
        <f t="shared" si="65"/>
        <v>0.19871005901220046</v>
      </c>
      <c r="AG124" s="9">
        <f t="shared" si="65"/>
        <v>0.20300859418326514</v>
      </c>
      <c r="AH124" s="9">
        <f t="shared" si="65"/>
        <v>0.19683697174557174</v>
      </c>
      <c r="AI124" s="9">
        <f t="shared" si="65"/>
        <v>0.20901075088679699</v>
      </c>
      <c r="AJ124" s="9">
        <f t="shared" si="65"/>
        <v>0.22312321105926741</v>
      </c>
      <c r="AK124" s="9">
        <f t="shared" si="65"/>
        <v>0.23412750792598472</v>
      </c>
      <c r="AL124" s="9">
        <f t="shared" si="65"/>
        <v>0.21089620277254487</v>
      </c>
      <c r="AM124" s="9">
        <f t="shared" si="65"/>
        <v>0.20717329380309712</v>
      </c>
    </row>
    <row r="125" spans="1:39" x14ac:dyDescent="0.15">
      <c r="A125" s="2" t="s">
        <v>67</v>
      </c>
      <c r="G125" s="9">
        <f>G64*G16/(G59*10^6)</f>
        <v>6.4654899543272392E-4</v>
      </c>
      <c r="H125" s="9">
        <f t="shared" ref="H125:AM125" si="66">H64*H16/(H59*10^6)</f>
        <v>5.668798878764572E-4</v>
      </c>
      <c r="I125" s="9">
        <f t="shared" si="66"/>
        <v>1.12955342490252E-3</v>
      </c>
      <c r="J125" s="9">
        <f t="shared" si="66"/>
        <v>1.4229570971951225E-3</v>
      </c>
      <c r="K125" s="9">
        <f t="shared" si="66"/>
        <v>8.5964237017283258E-4</v>
      </c>
      <c r="L125" s="9">
        <f t="shared" si="66"/>
        <v>1.0153675750692885E-3</v>
      </c>
      <c r="M125" s="9">
        <f t="shared" si="66"/>
        <v>7.9909131266474645E-4</v>
      </c>
      <c r="N125" s="9">
        <f t="shared" si="66"/>
        <v>9.0679984179906916E-4</v>
      </c>
      <c r="O125" s="9">
        <f t="shared" si="66"/>
        <v>1.1108473753435968E-3</v>
      </c>
      <c r="P125" s="9">
        <f t="shared" si="66"/>
        <v>1.5819886192854672E-3</v>
      </c>
      <c r="Q125" s="9">
        <f t="shared" si="66"/>
        <v>1.4544085899526329E-3</v>
      </c>
      <c r="R125" s="9">
        <f t="shared" si="66"/>
        <v>1.4092168421359183E-3</v>
      </c>
      <c r="S125" s="9">
        <f t="shared" si="66"/>
        <v>2.8625742995715426E-3</v>
      </c>
      <c r="T125" s="9">
        <f t="shared" si="66"/>
        <v>6.4708533222190426E-3</v>
      </c>
      <c r="U125" s="9">
        <f t="shared" si="66"/>
        <v>1.0134735256278303E-2</v>
      </c>
      <c r="V125" s="9">
        <f t="shared" si="66"/>
        <v>2.6629058582785313E-3</v>
      </c>
      <c r="W125" s="9">
        <f t="shared" si="66"/>
        <v>1.9241824903678104E-3</v>
      </c>
      <c r="X125" s="9">
        <f t="shared" si="66"/>
        <v>1.4508005112912785E-3</v>
      </c>
      <c r="Y125" s="9">
        <f t="shared" si="66"/>
        <v>1.4552087065761426E-3</v>
      </c>
      <c r="Z125" s="9">
        <f t="shared" si="66"/>
        <v>1.2797443233082664E-3</v>
      </c>
      <c r="AA125" s="9">
        <f t="shared" si="66"/>
        <v>1.3986986515606697E-3</v>
      </c>
      <c r="AB125" s="9">
        <f t="shared" si="66"/>
        <v>1.1966419206458337E-3</v>
      </c>
      <c r="AC125" s="9">
        <f t="shared" si="66"/>
        <v>1.7858376227824033E-3</v>
      </c>
      <c r="AD125" s="9">
        <f t="shared" si="66"/>
        <v>1.9386049357230969E-3</v>
      </c>
      <c r="AE125" s="9">
        <f t="shared" si="66"/>
        <v>3.1929492503335842E-3</v>
      </c>
      <c r="AF125" s="9">
        <f t="shared" si="66"/>
        <v>3.9885276642930498E-3</v>
      </c>
      <c r="AG125" s="9">
        <f t="shared" si="66"/>
        <v>4.2226295919568111E-3</v>
      </c>
      <c r="AH125" s="9">
        <f t="shared" si="66"/>
        <v>4.2088878092563058E-3</v>
      </c>
      <c r="AI125" s="9">
        <f t="shared" si="66"/>
        <v>3.7976142646395255E-3</v>
      </c>
      <c r="AJ125" s="9">
        <f t="shared" si="66"/>
        <v>5.1716164426380351E-3</v>
      </c>
      <c r="AK125" s="9">
        <f t="shared" si="66"/>
        <v>3.3960762034871382E-3</v>
      </c>
      <c r="AL125" s="9">
        <f t="shared" si="66"/>
        <v>4.5904202899420474E-3</v>
      </c>
      <c r="AM125" s="9">
        <f t="shared" si="66"/>
        <v>2.1911160259927781E-3</v>
      </c>
    </row>
    <row r="126" spans="1:39" x14ac:dyDescent="0.15">
      <c r="A126" s="2" t="s">
        <v>68</v>
      </c>
      <c r="G126" s="9">
        <f>G66*G18/(G59*10^6)</f>
        <v>2.2701895290423563E-2</v>
      </c>
      <c r="H126" s="9">
        <f t="shared" ref="H126:AM126" si="67">H66*H18/(H59*10^6)</f>
        <v>2.0012293828733253E-2</v>
      </c>
      <c r="I126" s="9">
        <f t="shared" si="67"/>
        <v>1.855244385686397E-2</v>
      </c>
      <c r="J126" s="9">
        <f t="shared" si="67"/>
        <v>1.8092896619972806E-2</v>
      </c>
      <c r="K126" s="9">
        <f t="shared" si="67"/>
        <v>2.1693628481855593E-2</v>
      </c>
      <c r="L126" s="9">
        <f t="shared" si="67"/>
        <v>2.9549636814633868E-2</v>
      </c>
      <c r="M126" s="9">
        <f t="shared" si="67"/>
        <v>3.2860705288305384E-2</v>
      </c>
      <c r="N126" s="9">
        <f t="shared" si="67"/>
        <v>3.283316243377455E-2</v>
      </c>
      <c r="O126" s="9">
        <f t="shared" si="67"/>
        <v>3.1338230419171713E-2</v>
      </c>
      <c r="P126" s="9">
        <f t="shared" si="67"/>
        <v>3.4423591322805577E-2</v>
      </c>
      <c r="Q126" s="9">
        <f t="shared" si="67"/>
        <v>3.9282303544123459E-2</v>
      </c>
      <c r="R126" s="9">
        <f t="shared" si="67"/>
        <v>5.2279740085309473E-2</v>
      </c>
      <c r="S126" s="9">
        <f t="shared" si="67"/>
        <v>5.9536188641459577E-2</v>
      </c>
      <c r="T126" s="9">
        <f t="shared" si="67"/>
        <v>6.7580800761482152E-2</v>
      </c>
      <c r="U126" s="9">
        <f t="shared" si="67"/>
        <v>8.2830458942353871E-2</v>
      </c>
      <c r="V126" s="9">
        <f t="shared" si="67"/>
        <v>2.1024603278266552E-2</v>
      </c>
      <c r="W126" s="9">
        <f t="shared" si="67"/>
        <v>2.2001006987471015E-2</v>
      </c>
      <c r="X126" s="9">
        <f t="shared" si="67"/>
        <v>1.8684690526498758E-2</v>
      </c>
      <c r="Y126" s="9">
        <f t="shared" si="67"/>
        <v>1.2534687875486644E-2</v>
      </c>
      <c r="Z126" s="9">
        <f t="shared" si="67"/>
        <v>1.0410320943545328E-2</v>
      </c>
      <c r="AA126" s="9">
        <f t="shared" si="67"/>
        <v>1.0520632897276122E-2</v>
      </c>
      <c r="AB126" s="9">
        <f t="shared" si="67"/>
        <v>1.0118494838336487E-2</v>
      </c>
      <c r="AC126" s="9">
        <f t="shared" si="67"/>
        <v>1.0728286480642698E-2</v>
      </c>
      <c r="AD126" s="9">
        <f t="shared" si="67"/>
        <v>1.0420810137697337E-2</v>
      </c>
      <c r="AE126" s="9">
        <f t="shared" si="67"/>
        <v>1.0215163888151824E-2</v>
      </c>
      <c r="AF126" s="9">
        <f t="shared" si="67"/>
        <v>1.2157006186381826E-2</v>
      </c>
      <c r="AG126" s="9">
        <f t="shared" si="67"/>
        <v>1.2806304649360287E-2</v>
      </c>
      <c r="AH126" s="9">
        <f t="shared" si="67"/>
        <v>1.469229771074881E-2</v>
      </c>
      <c r="AI126" s="9">
        <f t="shared" si="67"/>
        <v>1.4601706987722883E-2</v>
      </c>
      <c r="AJ126" s="9">
        <f t="shared" si="67"/>
        <v>1.6032351335422374E-2</v>
      </c>
      <c r="AK126" s="9">
        <f t="shared" si="67"/>
        <v>1.8653500664197818E-2</v>
      </c>
      <c r="AL126" s="9">
        <f t="shared" si="67"/>
        <v>1.8304150039691762E-2</v>
      </c>
      <c r="AM126" s="9">
        <f t="shared" si="67"/>
        <v>1.4222981979147601E-2</v>
      </c>
    </row>
    <row r="127" spans="1:39" x14ac:dyDescent="0.15">
      <c r="A127" s="2" t="s">
        <v>69</v>
      </c>
    </row>
    <row r="131" spans="1:39" x14ac:dyDescent="0.15">
      <c r="A131" s="2" t="s">
        <v>55</v>
      </c>
      <c r="E131" s="2">
        <v>1990</v>
      </c>
      <c r="F131" s="2">
        <v>1991</v>
      </c>
      <c r="G131" s="2">
        <v>1992</v>
      </c>
      <c r="H131" s="2">
        <v>1993</v>
      </c>
      <c r="I131" s="2">
        <v>1994</v>
      </c>
      <c r="J131" s="2">
        <v>1995</v>
      </c>
      <c r="K131" s="2">
        <v>1996</v>
      </c>
      <c r="L131" s="2">
        <v>1997</v>
      </c>
      <c r="M131" s="2">
        <v>1998</v>
      </c>
      <c r="N131" s="2">
        <v>1999</v>
      </c>
      <c r="O131" s="2">
        <v>2000</v>
      </c>
      <c r="P131" s="2">
        <v>2001</v>
      </c>
      <c r="Q131" s="2">
        <v>2002</v>
      </c>
      <c r="R131" s="2">
        <v>2003</v>
      </c>
      <c r="S131" s="2" t="s">
        <v>0</v>
      </c>
      <c r="T131" s="2" t="s">
        <v>1</v>
      </c>
      <c r="U131" s="2" t="s">
        <v>2</v>
      </c>
      <c r="V131" s="2" t="s">
        <v>3</v>
      </c>
      <c r="W131" s="2" t="s">
        <v>4</v>
      </c>
      <c r="X131" s="2" t="s">
        <v>5</v>
      </c>
      <c r="Y131" s="2" t="s">
        <v>6</v>
      </c>
      <c r="Z131" s="2" t="s">
        <v>7</v>
      </c>
      <c r="AA131" s="2" t="s">
        <v>8</v>
      </c>
      <c r="AB131" s="2" t="s">
        <v>9</v>
      </c>
      <c r="AC131" s="2" t="s">
        <v>10</v>
      </c>
      <c r="AD131" s="2" t="s">
        <v>11</v>
      </c>
      <c r="AE131" s="2" t="s">
        <v>12</v>
      </c>
      <c r="AF131" s="2" t="s">
        <v>13</v>
      </c>
      <c r="AG131" s="2" t="s">
        <v>14</v>
      </c>
      <c r="AH131" s="2" t="s">
        <v>15</v>
      </c>
      <c r="AI131" s="2" t="s">
        <v>16</v>
      </c>
      <c r="AJ131" s="2" t="s">
        <v>17</v>
      </c>
      <c r="AK131" s="2" t="s">
        <v>18</v>
      </c>
      <c r="AL131" s="2" t="s">
        <v>19</v>
      </c>
      <c r="AM131" s="2" t="s">
        <v>20</v>
      </c>
    </row>
    <row r="132" spans="1:39" x14ac:dyDescent="0.15">
      <c r="A132" s="2" t="s">
        <v>56</v>
      </c>
      <c r="S132" s="2">
        <v>1.7545671325428893</v>
      </c>
      <c r="T132" s="2">
        <v>1.9788887491352745</v>
      </c>
      <c r="U132" s="2">
        <v>2.3292333254213151</v>
      </c>
      <c r="V132" s="2">
        <v>2.3653462222477195</v>
      </c>
      <c r="W132" s="2">
        <v>2.1961010112173289</v>
      </c>
      <c r="X132" s="2">
        <v>2.0880410523272621</v>
      </c>
      <c r="Y132" s="2">
        <v>2.0397076507253571</v>
      </c>
      <c r="Z132" s="2">
        <v>1.9202017852312685</v>
      </c>
      <c r="AA132" s="2">
        <v>1.8664044587669713</v>
      </c>
      <c r="AB132" s="2">
        <v>1.8395944410002067</v>
      </c>
      <c r="AC132" s="2">
        <v>1.8370600414078675</v>
      </c>
      <c r="AD132" s="2">
        <v>1.8887661314156241</v>
      </c>
      <c r="AE132" s="2">
        <v>1.8805296216987866</v>
      </c>
      <c r="AF132" s="2">
        <v>1.8745414687614177</v>
      </c>
      <c r="AG132" s="2">
        <v>1.8901484287942947</v>
      </c>
      <c r="AH132" s="2">
        <v>1.8771145164090988</v>
      </c>
      <c r="AI132" s="2">
        <v>1.922308089056993</v>
      </c>
      <c r="AJ132" s="2">
        <v>1.8563513883993263</v>
      </c>
      <c r="AK132" s="2">
        <v>1.62022957651962</v>
      </c>
      <c r="AL132" s="2">
        <v>1.7178177122565372</v>
      </c>
      <c r="AM132" s="2">
        <v>1.7010318083979636</v>
      </c>
    </row>
    <row r="133" spans="1:39" x14ac:dyDescent="0.15">
      <c r="A133" s="2" t="s">
        <v>57</v>
      </c>
      <c r="E133" s="2">
        <v>3.7351200222006384</v>
      </c>
      <c r="F133" s="2">
        <v>3.7341493435448578</v>
      </c>
      <c r="G133" s="2">
        <v>3.6975375335120644</v>
      </c>
      <c r="H133" s="2">
        <v>3.7273148645022807</v>
      </c>
      <c r="I133" s="2">
        <v>3.5524463273236924</v>
      </c>
      <c r="J133" s="2">
        <v>3.466458513663905</v>
      </c>
      <c r="K133" s="2">
        <v>3.4001514150093133</v>
      </c>
      <c r="L133" s="2">
        <v>3.3303925451368666</v>
      </c>
      <c r="M133" s="2">
        <v>3.2995497751721783</v>
      </c>
      <c r="N133" s="2">
        <v>3.2553905256757503</v>
      </c>
      <c r="O133" s="2">
        <v>3.1772484544873163</v>
      </c>
      <c r="P133" s="2">
        <v>3.2017293987224833</v>
      </c>
      <c r="Q133" s="2">
        <v>3.2347264701245466</v>
      </c>
      <c r="R133" s="2">
        <v>3.2577010411761629</v>
      </c>
      <c r="S133" s="2">
        <v>3.2030345143555286</v>
      </c>
      <c r="T133" s="2">
        <v>3.1638906848361268</v>
      </c>
      <c r="U133" s="2">
        <v>3.0896019161676649</v>
      </c>
      <c r="V133" s="2">
        <v>3.126614486978796</v>
      </c>
      <c r="W133" s="2">
        <v>3.2041732958605249</v>
      </c>
      <c r="X133" s="2">
        <v>3.423189793463004</v>
      </c>
      <c r="Y133" s="2">
        <v>3.3905907027240425</v>
      </c>
      <c r="Z133" s="2">
        <v>3.34991475888943</v>
      </c>
      <c r="AA133" s="2">
        <v>3.3553119976618442</v>
      </c>
      <c r="AB133" s="2">
        <v>3.322157098246457</v>
      </c>
      <c r="AC133" s="2">
        <v>3.2967136283857501</v>
      </c>
      <c r="AD133" s="2">
        <v>3.2543569968407358</v>
      </c>
      <c r="AE133" s="2">
        <v>3.1893820427296493</v>
      </c>
      <c r="AF133" s="2">
        <v>3.1386892057382787</v>
      </c>
      <c r="AG133" s="2">
        <v>3.130292842114303</v>
      </c>
      <c r="AH133" s="2">
        <v>3.1288682033096928</v>
      </c>
      <c r="AI133" s="2">
        <v>3.2288571305768072</v>
      </c>
      <c r="AJ133" s="2">
        <v>3.076458148357414</v>
      </c>
      <c r="AK133" s="2">
        <v>3.1287170523947285</v>
      </c>
      <c r="AL133" s="2">
        <v>3.1840824314070049</v>
      </c>
      <c r="AM133" s="2">
        <v>3.1311381705905057</v>
      </c>
    </row>
    <row r="134" spans="1:39" x14ac:dyDescent="0.15">
      <c r="A134" s="2" t="s">
        <v>58</v>
      </c>
      <c r="G134" s="2">
        <v>5.8803271505230713E-4</v>
      </c>
      <c r="H134" s="2">
        <v>1.6081480565105569E-3</v>
      </c>
      <c r="I134" s="2">
        <v>4.3559873397782684E-3</v>
      </c>
      <c r="J134" s="2">
        <v>1.0957765267836376E-2</v>
      </c>
      <c r="K134" s="2">
        <v>2.56709471699577E-2</v>
      </c>
      <c r="L134" s="2">
        <v>5.4617888109768899E-2</v>
      </c>
      <c r="M134" s="2">
        <v>0.10115464994346636</v>
      </c>
      <c r="N134" s="2">
        <v>0.16709540912077778</v>
      </c>
      <c r="O134" s="2">
        <v>0.24835490378165601</v>
      </c>
      <c r="P134" s="2">
        <v>0.34201283627593926</v>
      </c>
      <c r="Q134" s="2">
        <v>0.43130256482452661</v>
      </c>
      <c r="R134" s="2">
        <v>0.50761382351430073</v>
      </c>
      <c r="S134" s="2">
        <v>0.56993309929124991</v>
      </c>
      <c r="T134" s="2">
        <v>0.68319979875479531</v>
      </c>
      <c r="U134" s="2">
        <v>0.813491573700451</v>
      </c>
      <c r="V134" s="2">
        <v>0.78254374390453785</v>
      </c>
      <c r="W134" s="2">
        <v>0.68178151074763771</v>
      </c>
      <c r="X134" s="2">
        <v>0.63192136455623016</v>
      </c>
      <c r="Y134" s="2">
        <v>0.64794307463180545</v>
      </c>
      <c r="Z134" s="2">
        <v>0.60861996213145797</v>
      </c>
      <c r="AA134" s="2">
        <v>0.59693169211263142</v>
      </c>
      <c r="AB134" s="2">
        <v>0.6008958462492251</v>
      </c>
      <c r="AC134" s="2">
        <v>0.62026410139877797</v>
      </c>
      <c r="AD134" s="2">
        <v>0.65942320953600631</v>
      </c>
      <c r="AE134" s="2">
        <v>0.67007613609326666</v>
      </c>
      <c r="AF134" s="2">
        <v>0.67652310924369752</v>
      </c>
      <c r="AG134" s="2">
        <v>0.6879750390015601</v>
      </c>
      <c r="AH134" s="2">
        <v>0.68663266192047234</v>
      </c>
      <c r="AI134" s="2">
        <v>0.70728273016418808</v>
      </c>
      <c r="AJ134" s="2">
        <v>0.67892570399091368</v>
      </c>
      <c r="AK134" s="2">
        <v>0.59527990675661357</v>
      </c>
      <c r="AL134" s="2">
        <v>0.64799741741095451</v>
      </c>
      <c r="AM134" s="2">
        <v>0.64421572312002462</v>
      </c>
    </row>
    <row r="135" spans="1:39" x14ac:dyDescent="0.15">
      <c r="A135" s="2" t="s">
        <v>59</v>
      </c>
      <c r="G135" s="2">
        <v>6.87054128938171E-4</v>
      </c>
      <c r="H135" s="2">
        <v>1.9260658670153842E-3</v>
      </c>
      <c r="I135" s="2">
        <v>5.179660033484813E-3</v>
      </c>
      <c r="J135" s="2">
        <v>1.2870216990014397E-2</v>
      </c>
      <c r="K135" s="2">
        <v>3.0795656134734565E-2</v>
      </c>
      <c r="L135" s="2">
        <v>6.3590106840610339E-2</v>
      </c>
      <c r="M135" s="2">
        <v>0.11525811784062717</v>
      </c>
      <c r="N135" s="2">
        <v>0.1866644011755042</v>
      </c>
      <c r="O135" s="2">
        <v>0.27253374957807203</v>
      </c>
      <c r="P135" s="2">
        <v>0.36214555415409128</v>
      </c>
      <c r="Q135" s="2">
        <v>0.44378963632082585</v>
      </c>
      <c r="R135" s="2">
        <v>0.52189174449465803</v>
      </c>
      <c r="S135" s="2">
        <v>1.1846340332516394</v>
      </c>
      <c r="T135" s="2">
        <v>1.2956889503804792</v>
      </c>
      <c r="U135" s="2">
        <v>1.515741751720864</v>
      </c>
      <c r="V135" s="2">
        <v>1.5828024783431818</v>
      </c>
      <c r="W135" s="2">
        <v>1.5143195004696912</v>
      </c>
      <c r="X135" s="2">
        <v>1.4561196877710321</v>
      </c>
      <c r="Y135" s="2">
        <v>1.3917645760935518</v>
      </c>
      <c r="Z135" s="2">
        <v>1.3115818230998106</v>
      </c>
      <c r="AA135" s="2">
        <v>1.2694727666543399</v>
      </c>
      <c r="AB135" s="2">
        <v>1.2386985947509817</v>
      </c>
      <c r="AC135" s="2">
        <v>1.2167959400090895</v>
      </c>
      <c r="AD135" s="2">
        <v>1.2293429218796177</v>
      </c>
      <c r="AE135" s="2">
        <v>1.2104534856055198</v>
      </c>
      <c r="AF135" s="2">
        <v>1.1980183595177201</v>
      </c>
      <c r="AG135" s="2">
        <v>1.2021733897927345</v>
      </c>
      <c r="AH135" s="2">
        <v>1.1904818544886264</v>
      </c>
      <c r="AI135" s="2">
        <v>1.2150253588928051</v>
      </c>
      <c r="AJ135" s="2">
        <v>1.1774256844084126</v>
      </c>
      <c r="AK135" s="2">
        <v>1.0249496697630065</v>
      </c>
      <c r="AL135" s="2">
        <v>1.0698202948455826</v>
      </c>
      <c r="AM135" s="2">
        <v>1.0568160852779391</v>
      </c>
    </row>
    <row r="137" spans="1:39" x14ac:dyDescent="0.15">
      <c r="A137" s="2" t="s">
        <v>60</v>
      </c>
    </row>
    <row r="138" spans="1:39" x14ac:dyDescent="0.15">
      <c r="A138" s="2" t="s">
        <v>90</v>
      </c>
      <c r="B138" s="2" t="s">
        <v>93</v>
      </c>
      <c r="E138" s="2">
        <v>0.1953</v>
      </c>
      <c r="F138" s="2">
        <v>0.20710000000000001</v>
      </c>
      <c r="G138" s="2">
        <v>0.19420000000000001</v>
      </c>
      <c r="H138" s="2">
        <v>0.21279999999999999</v>
      </c>
      <c r="I138" s="2">
        <v>0.20219999999999999</v>
      </c>
      <c r="J138" s="2">
        <v>0.1968</v>
      </c>
      <c r="K138" s="2">
        <v>0.20080000000000001</v>
      </c>
      <c r="L138" s="2">
        <v>0.22359999999999999</v>
      </c>
      <c r="M138" s="2">
        <v>0.22500000000000001</v>
      </c>
      <c r="N138" s="2">
        <v>0.24079999999999999</v>
      </c>
      <c r="O138" s="2">
        <v>0.23080000000000001</v>
      </c>
      <c r="P138" s="2">
        <v>0.19359999999999999</v>
      </c>
      <c r="Q138" s="2">
        <v>0.1794</v>
      </c>
      <c r="R138" s="2">
        <v>0.1762</v>
      </c>
      <c r="S138" s="2">
        <v>0.1908</v>
      </c>
      <c r="T138" s="2">
        <v>0.21529999999999999</v>
      </c>
      <c r="U138" s="2">
        <v>0.21579999999999999</v>
      </c>
      <c r="V138" s="2">
        <v>0.2102</v>
      </c>
      <c r="W138" s="2">
        <v>0.17449999999999999</v>
      </c>
      <c r="X138" s="2">
        <v>0.19109999999999999</v>
      </c>
      <c r="Y138" s="2">
        <v>0.20630000000000001</v>
      </c>
      <c r="Z138" s="2">
        <v>0.191</v>
      </c>
      <c r="AA138" s="2">
        <v>0.1953</v>
      </c>
      <c r="AB138" s="2">
        <v>0.20319999999999999</v>
      </c>
      <c r="AC138" s="2">
        <v>0.20960000000000001</v>
      </c>
      <c r="AD138" s="2">
        <v>0.20649999999999999</v>
      </c>
      <c r="AE138" s="2">
        <v>0.20830000000000001</v>
      </c>
      <c r="AF138" s="2">
        <v>0.21340000000000001</v>
      </c>
      <c r="AG138" s="2">
        <v>0.2152</v>
      </c>
      <c r="AH138" s="2">
        <v>0.2107</v>
      </c>
      <c r="AI138" s="2">
        <v>0.2107</v>
      </c>
      <c r="AJ138" s="2">
        <v>0.21609999999999999</v>
      </c>
      <c r="AK138" s="2">
        <v>0.2147</v>
      </c>
      <c r="AL138" s="2">
        <v>0.20549999999999999</v>
      </c>
      <c r="AM138" s="2">
        <v>0.20760000000000001</v>
      </c>
    </row>
    <row r="139" spans="1:39" x14ac:dyDescent="0.15">
      <c r="A139" s="2" t="s">
        <v>91</v>
      </c>
      <c r="B139" s="2" t="s">
        <v>93</v>
      </c>
      <c r="E139" s="2">
        <v>0.5323</v>
      </c>
      <c r="F139" s="2">
        <v>0.54069999999999996</v>
      </c>
      <c r="G139" s="2">
        <v>0.54330000000000001</v>
      </c>
      <c r="H139" s="2">
        <v>0.54649999999999999</v>
      </c>
      <c r="I139" s="2">
        <v>0.5333</v>
      </c>
      <c r="J139" s="2">
        <v>0.52259999999999995</v>
      </c>
      <c r="K139" s="2">
        <v>0.52569999999999995</v>
      </c>
      <c r="L139" s="2">
        <v>0.55089999999999995</v>
      </c>
      <c r="M139" s="2">
        <v>0.55049999999999999</v>
      </c>
      <c r="N139" s="2">
        <v>0.55630000000000002</v>
      </c>
      <c r="O139" s="2">
        <v>0.54249999999999998</v>
      </c>
      <c r="P139" s="2">
        <v>0.51970000000000005</v>
      </c>
      <c r="Q139" s="2">
        <v>0.51259999999999994</v>
      </c>
      <c r="R139" s="2">
        <v>0.50629999999999997</v>
      </c>
      <c r="S139" s="2">
        <v>0.50980000000000003</v>
      </c>
      <c r="T139" s="2">
        <v>0.51649999999999996</v>
      </c>
      <c r="U139" s="2">
        <v>0.51180000000000003</v>
      </c>
      <c r="V139" s="2">
        <v>0.5111</v>
      </c>
      <c r="W139" s="2">
        <v>0.48909999999999998</v>
      </c>
      <c r="X139" s="2">
        <v>0.50919999999999999</v>
      </c>
      <c r="Y139" s="2">
        <v>0.51070000000000004</v>
      </c>
      <c r="Z139" s="2">
        <v>0.50060000000000004</v>
      </c>
      <c r="AA139" s="2">
        <v>0.49380000000000002</v>
      </c>
      <c r="AB139" s="2">
        <v>0.49959999999999999</v>
      </c>
      <c r="AC139" s="2">
        <v>0.50409999999999999</v>
      </c>
      <c r="AD139" s="2">
        <v>0.50180000000000002</v>
      </c>
      <c r="AE139" s="2">
        <v>0.50319999999999998</v>
      </c>
      <c r="AF139" s="2">
        <v>0.50639999999999996</v>
      </c>
      <c r="AG139" s="2">
        <v>0.50749999999999995</v>
      </c>
      <c r="AH139" s="2">
        <v>0.50449999999999995</v>
      </c>
      <c r="AI139" s="2">
        <v>0.50449999999999995</v>
      </c>
      <c r="AJ139" s="2">
        <v>0.50790000000000002</v>
      </c>
      <c r="AK139" s="2">
        <v>0.5071</v>
      </c>
      <c r="AL139" s="2">
        <v>0.50129999999999997</v>
      </c>
      <c r="AM139" s="2">
        <v>0.50260000000000005</v>
      </c>
    </row>
    <row r="140" spans="1:39" x14ac:dyDescent="0.15">
      <c r="A140" s="2" t="s">
        <v>92</v>
      </c>
      <c r="B140" s="2" t="s">
        <v>93</v>
      </c>
      <c r="E140" s="2">
        <v>-9.5999999999999992E-3</v>
      </c>
      <c r="F140" s="2">
        <v>-3.7000000000000002E-3</v>
      </c>
      <c r="G140" s="2">
        <v>-7.4000000000000003E-3</v>
      </c>
      <c r="H140" s="2">
        <v>8.6E-3</v>
      </c>
      <c r="I140" s="2">
        <v>1.7899999999999999E-2</v>
      </c>
      <c r="J140" s="2">
        <v>2.6599999999999999E-2</v>
      </c>
      <c r="K140" s="2">
        <v>2.5999999999999999E-2</v>
      </c>
      <c r="L140" s="2">
        <v>1.89E-2</v>
      </c>
      <c r="M140" s="2">
        <v>1.83E-2</v>
      </c>
      <c r="N140" s="2">
        <v>2.5000000000000001E-2</v>
      </c>
      <c r="O140" s="2">
        <v>3.5400000000000001E-2</v>
      </c>
      <c r="P140" s="2">
        <v>3.2099999999999997E-2</v>
      </c>
      <c r="Q140" s="2">
        <v>2.29E-2</v>
      </c>
      <c r="R140" s="2">
        <v>3.4099999999999998E-2</v>
      </c>
      <c r="S140" s="2">
        <v>4.1799999999999997E-2</v>
      </c>
      <c r="T140" s="2">
        <v>5.1999999999999998E-2</v>
      </c>
      <c r="U140" s="2">
        <v>5.5500000000000001E-2</v>
      </c>
      <c r="V140" s="2">
        <v>5.3499999999999999E-2</v>
      </c>
      <c r="W140" s="2">
        <v>4.7899999999999998E-2</v>
      </c>
      <c r="X140" s="2">
        <v>2.9899999999999999E-2</v>
      </c>
      <c r="Y140" s="2">
        <v>3.4599999999999999E-2</v>
      </c>
      <c r="Z140" s="2">
        <v>2.9499999999999998E-2</v>
      </c>
      <c r="AA140" s="2">
        <v>4.1300000000000003E-2</v>
      </c>
      <c r="AB140" s="2">
        <v>4.07E-2</v>
      </c>
      <c r="AC140" s="2">
        <v>4.0300000000000002E-2</v>
      </c>
      <c r="AD140" s="2">
        <v>4.0500000000000001E-2</v>
      </c>
      <c r="AE140" s="2">
        <v>4.0399999999999998E-2</v>
      </c>
      <c r="AF140" s="2">
        <v>4.0099999999999997E-2</v>
      </c>
      <c r="AG140" s="2">
        <v>4.0099999999999997E-2</v>
      </c>
      <c r="AH140" s="2">
        <v>4.0300000000000002E-2</v>
      </c>
      <c r="AI140" s="2">
        <v>4.0300000000000002E-2</v>
      </c>
      <c r="AJ140" s="2">
        <v>0.04</v>
      </c>
      <c r="AK140" s="2">
        <v>4.0099999999999997E-2</v>
      </c>
      <c r="AL140" s="2">
        <v>4.0599999999999997E-2</v>
      </c>
      <c r="AM140" s="2">
        <v>4.0500000000000001E-2</v>
      </c>
    </row>
    <row r="142" spans="1:39" x14ac:dyDescent="0.15">
      <c r="A142" s="2" t="s">
        <v>61</v>
      </c>
    </row>
    <row r="143" spans="1:39" x14ac:dyDescent="0.15">
      <c r="A143" s="2" t="s">
        <v>62</v>
      </c>
      <c r="G143" s="2">
        <v>1.5490006904836224</v>
      </c>
      <c r="H143" s="2">
        <v>1.5180342651036971</v>
      </c>
      <c r="I143" s="2">
        <v>1.5322668605708054</v>
      </c>
      <c r="J143" s="2">
        <v>1.5549678012879484</v>
      </c>
      <c r="K143" s="2">
        <v>1.5245288289082946</v>
      </c>
      <c r="L143" s="2">
        <v>1.5753674028010312</v>
      </c>
      <c r="M143" s="2">
        <v>1.6183071732433623</v>
      </c>
      <c r="N143" s="2">
        <v>1.6603532992162131</v>
      </c>
      <c r="O143" s="2">
        <v>1.7001333772524287</v>
      </c>
      <c r="P143" s="2">
        <v>1.7700116474699106</v>
      </c>
      <c r="Q143" s="2">
        <v>1.8309238399293217</v>
      </c>
      <c r="R143" s="2">
        <v>1.8403695462900262</v>
      </c>
      <c r="S143" s="2">
        <v>1.9051547684631545</v>
      </c>
      <c r="T143" s="2">
        <v>2.095904384836961</v>
      </c>
      <c r="U143" s="2">
        <v>2.1888114364827662</v>
      </c>
      <c r="V143" s="2">
        <v>2.0052534709357142</v>
      </c>
      <c r="W143" s="2">
        <v>1.8215160125950389</v>
      </c>
      <c r="X143" s="2">
        <v>1.7002884778550822</v>
      </c>
      <c r="Y143" s="2">
        <v>1.8459161296852331</v>
      </c>
      <c r="Z143" s="2">
        <v>1.8760481802218993</v>
      </c>
      <c r="AA143" s="2">
        <v>1.8622913072744061</v>
      </c>
      <c r="AB143" s="2">
        <v>1.9404472443265548</v>
      </c>
      <c r="AC143" s="2">
        <v>2.0257850948499541</v>
      </c>
      <c r="AD143" s="2">
        <v>2.08697146547145</v>
      </c>
      <c r="AE143" s="2">
        <v>2.1361901620806636</v>
      </c>
      <c r="AF143" s="2">
        <v>2.177744026839552</v>
      </c>
      <c r="AG143" s="2">
        <v>2.1873953729614231</v>
      </c>
      <c r="AH143" s="2">
        <v>2.1941260853152134</v>
      </c>
      <c r="AI143" s="2">
        <v>2.2517234823556942</v>
      </c>
      <c r="AJ143" s="2">
        <v>2.4346146013098515</v>
      </c>
      <c r="AK143" s="2">
        <v>2.4507361689470555</v>
      </c>
      <c r="AL143" s="2">
        <v>2.4012120750321797</v>
      </c>
      <c r="AM143" s="2">
        <v>2.4672886675933854</v>
      </c>
    </row>
    <row r="144" spans="1:39" x14ac:dyDescent="0.15">
      <c r="A144" s="2" t="s">
        <v>63</v>
      </c>
      <c r="G144" s="2">
        <v>0.3</v>
      </c>
      <c r="H144" s="2">
        <v>0.29882165814982525</v>
      </c>
      <c r="I144" s="2">
        <v>0.29892848354266827</v>
      </c>
      <c r="J144" s="2">
        <v>0.29925100543080813</v>
      </c>
      <c r="K144" s="2">
        <v>0.29975471528883091</v>
      </c>
      <c r="L144" s="2">
        <v>0.30047533422026057</v>
      </c>
      <c r="M144" s="2">
        <v>0.30094872388124294</v>
      </c>
      <c r="N144" s="2">
        <v>0.30157620050386091</v>
      </c>
      <c r="O144" s="2">
        <v>0.30213650261843655</v>
      </c>
      <c r="P144" s="2">
        <v>0.30241493592370017</v>
      </c>
      <c r="Q144" s="2">
        <v>0.30233751738186149</v>
      </c>
      <c r="R144" s="2">
        <v>0.30205522902684673</v>
      </c>
      <c r="S144" s="2">
        <v>0.30164481477094379</v>
      </c>
      <c r="T144" s="2">
        <v>0.30129634096445201</v>
      </c>
      <c r="U144" s="2">
        <v>0.3007412876354944</v>
      </c>
      <c r="V144" s="2">
        <v>0.30047566121083824</v>
      </c>
      <c r="W144" s="2">
        <v>0.30103777250130448</v>
      </c>
      <c r="X144" s="2">
        <v>0.30257281549882048</v>
      </c>
      <c r="Y144" s="2">
        <v>0.30462113259939905</v>
      </c>
      <c r="Z144" s="2">
        <v>0.30640857001339089</v>
      </c>
      <c r="AA144" s="2">
        <v>0.30817991081729351</v>
      </c>
      <c r="AB144" s="2">
        <v>0.31001326679330721</v>
      </c>
      <c r="AC144" s="2">
        <v>0.31167188963283299</v>
      </c>
      <c r="AD144" s="2">
        <v>0.3129596059727065</v>
      </c>
      <c r="AE144" s="2">
        <v>0.31390955656659603</v>
      </c>
      <c r="AF144" s="2">
        <v>0.3148505759567522</v>
      </c>
      <c r="AG144" s="2">
        <v>0.31570481067224865</v>
      </c>
      <c r="AH144" s="2">
        <v>0.31673852575409062</v>
      </c>
      <c r="AI144" s="2">
        <v>0.31730964682077284</v>
      </c>
      <c r="AJ144" s="2">
        <v>0.31777050502013865</v>
      </c>
      <c r="AK144" s="2">
        <v>0.31834887160251152</v>
      </c>
      <c r="AL144" s="2">
        <v>0.31986855384855412</v>
      </c>
      <c r="AM144" s="2">
        <v>0.32149178005777668</v>
      </c>
    </row>
    <row r="145" spans="1:39" x14ac:dyDescent="0.15">
      <c r="A145" s="2" t="s">
        <v>86</v>
      </c>
      <c r="E145" s="2">
        <v>2.8869072416477903E-2</v>
      </c>
      <c r="F145" s="2">
        <v>2.9020932509948839E-2</v>
      </c>
      <c r="G145" s="2">
        <v>2.9170560713614142E-2</v>
      </c>
      <c r="H145" s="2">
        <v>2.9234160922339016E-2</v>
      </c>
      <c r="I145" s="2">
        <v>2.9339970689480348E-2</v>
      </c>
      <c r="J145" s="2">
        <v>2.9457883550119971E-2</v>
      </c>
      <c r="K145" s="2">
        <v>2.9606179223032245E-2</v>
      </c>
      <c r="L145" s="2">
        <v>2.9749175725105957E-2</v>
      </c>
      <c r="M145" s="2">
        <v>2.9870758243694267E-2</v>
      </c>
      <c r="N145" s="2">
        <v>3.0002507519550241E-2</v>
      </c>
      <c r="O145" s="2">
        <v>3.0131625543197406E-2</v>
      </c>
      <c r="P145" s="2">
        <v>3.0298681407854786E-2</v>
      </c>
      <c r="Q145" s="2">
        <v>3.0433593360929819E-2</v>
      </c>
      <c r="R145" s="2">
        <v>3.0582319348418804E-2</v>
      </c>
      <c r="S145" s="2">
        <v>3.0713670372975267E-2</v>
      </c>
      <c r="T145" s="2">
        <v>3.0855565771316554E-2</v>
      </c>
      <c r="U145" s="2">
        <v>3.1043298164083678E-2</v>
      </c>
      <c r="V145" s="2">
        <v>3.12786010317238E-2</v>
      </c>
      <c r="W145" s="2">
        <v>3.1606918514152496E-2</v>
      </c>
      <c r="X145" s="2">
        <v>3.1859053491220028E-2</v>
      </c>
      <c r="Y145" s="2">
        <v>3.2037962292321885E-2</v>
      </c>
      <c r="Z145" s="2">
        <v>3.2327389835833789E-2</v>
      </c>
      <c r="AA145" s="2">
        <v>3.2474574940118586E-2</v>
      </c>
      <c r="AB145" s="2">
        <v>3.2596995017849434E-2</v>
      </c>
      <c r="AC145" s="2">
        <v>3.2687482902809803E-2</v>
      </c>
      <c r="AD145" s="2">
        <v>3.2916106543283211E-2</v>
      </c>
      <c r="AE145" s="2">
        <v>3.3171040497663298E-2</v>
      </c>
      <c r="AF145" s="2">
        <v>3.3485727683019752E-2</v>
      </c>
      <c r="AG145" s="2">
        <v>3.3931390169570995E-2</v>
      </c>
      <c r="AH145" s="2">
        <v>3.4318590294600299E-2</v>
      </c>
      <c r="AI145" s="2">
        <v>3.474324957078196E-2</v>
      </c>
      <c r="AJ145" s="2">
        <v>3.515313487573641E-2</v>
      </c>
      <c r="AK145" s="2">
        <v>3.56603331902774E-2</v>
      </c>
      <c r="AL145" s="2">
        <v>3.6108228317272055E-2</v>
      </c>
      <c r="AM145" s="2">
        <v>3.6540036662896368E-2</v>
      </c>
    </row>
    <row r="146" spans="1:39" x14ac:dyDescent="0.15">
      <c r="A146" s="2" t="s">
        <v>64</v>
      </c>
      <c r="E146" s="2">
        <v>4.4847085946218617E-3</v>
      </c>
      <c r="F146" s="2">
        <v>4.5302784054418385E-3</v>
      </c>
      <c r="G146" s="2">
        <v>4.5640883812880289E-3</v>
      </c>
      <c r="H146" s="2">
        <v>4.5949998806172855E-3</v>
      </c>
      <c r="I146" s="2">
        <v>4.6214357905045578E-3</v>
      </c>
      <c r="J146" s="2">
        <v>4.6510928520154954E-3</v>
      </c>
      <c r="K146" s="2">
        <v>4.6809474515785363E-3</v>
      </c>
      <c r="L146" s="2">
        <v>4.7171494409524667E-3</v>
      </c>
      <c r="M146" s="2">
        <v>4.761689470130925E-3</v>
      </c>
      <c r="N146" s="2">
        <v>4.8108657526515297E-3</v>
      </c>
      <c r="O146" s="2">
        <v>4.8598324764713803E-3</v>
      </c>
      <c r="P146" s="2">
        <v>4.9091781947168383E-3</v>
      </c>
      <c r="Q146" s="2">
        <v>4.9566336420736427E-3</v>
      </c>
      <c r="R146" s="2">
        <v>5.0025407572635329E-3</v>
      </c>
      <c r="S146" s="2">
        <v>5.0585980584857415E-3</v>
      </c>
      <c r="T146" s="2">
        <v>5.1092391497314059E-3</v>
      </c>
      <c r="U146" s="2">
        <v>5.161398798627934E-3</v>
      </c>
      <c r="V146" s="2">
        <v>5.2240989893108788E-3</v>
      </c>
      <c r="W146" s="2">
        <v>5.2963285157674794E-3</v>
      </c>
      <c r="X146" s="2">
        <v>5.3684045448473584E-3</v>
      </c>
      <c r="Y146" s="2">
        <v>5.4204980323994869E-3</v>
      </c>
      <c r="Z146" s="2">
        <v>5.4861393402801878E-3</v>
      </c>
      <c r="AA146" s="2">
        <v>5.5207866017939946E-3</v>
      </c>
      <c r="AB146" s="2">
        <v>5.5608844936160095E-3</v>
      </c>
      <c r="AC146" s="2">
        <v>5.5991298897249192E-3</v>
      </c>
      <c r="AD146" s="2">
        <v>5.6302346339871827E-3</v>
      </c>
      <c r="AE146" s="2">
        <v>5.6616534089079257E-3</v>
      </c>
      <c r="AF146" s="2">
        <v>5.7008286714629128E-3</v>
      </c>
      <c r="AG146" s="2">
        <v>5.7519684356787792E-3</v>
      </c>
      <c r="AH146" s="2">
        <v>5.8007746716066018E-3</v>
      </c>
      <c r="AI146" s="2">
        <v>5.8711129711672043E-3</v>
      </c>
      <c r="AJ146" s="2">
        <v>5.9409566683752682E-3</v>
      </c>
      <c r="AK146" s="2">
        <v>6.0080221848073682E-3</v>
      </c>
      <c r="AL146" s="2">
        <v>6.0815223984807707E-3</v>
      </c>
      <c r="AM146" s="2">
        <v>6.1472680321760431E-3</v>
      </c>
    </row>
    <row r="148" spans="1:39" x14ac:dyDescent="0.15">
      <c r="A148" s="2" t="s">
        <v>65</v>
      </c>
    </row>
    <row r="149" spans="1:39" x14ac:dyDescent="0.15">
      <c r="A149" s="2" t="s">
        <v>66</v>
      </c>
      <c r="E149" s="2">
        <v>0.16059451227007765</v>
      </c>
      <c r="F149" s="2">
        <v>0.15219795248530563</v>
      </c>
      <c r="G149" s="2">
        <v>0.15139399759600625</v>
      </c>
      <c r="H149" s="2">
        <v>0.13956704847738344</v>
      </c>
      <c r="I149" s="2">
        <v>0.15045155431565985</v>
      </c>
      <c r="J149" s="2">
        <v>0.16730351670648316</v>
      </c>
      <c r="K149" s="2">
        <v>0.16429920161327444</v>
      </c>
      <c r="L149" s="2">
        <v>0.18203782130457105</v>
      </c>
      <c r="M149" s="2">
        <v>0.18851307268358422</v>
      </c>
      <c r="N149" s="2">
        <v>0.17424230299813484</v>
      </c>
      <c r="O149" s="2">
        <v>0.1876645824396441</v>
      </c>
      <c r="P149" s="2">
        <v>0.18307987126737776</v>
      </c>
      <c r="Q149" s="2">
        <v>0.17988804848837128</v>
      </c>
      <c r="R149" s="2">
        <v>0.17837683845762087</v>
      </c>
      <c r="S149" s="2">
        <v>0.18538097297400127</v>
      </c>
      <c r="T149" s="2">
        <v>0.1914784738285783</v>
      </c>
      <c r="U149" s="2">
        <v>0.20783452896208851</v>
      </c>
      <c r="V149" s="2">
        <v>0.21142236984906329</v>
      </c>
      <c r="W149" s="2">
        <v>0.2031671953561574</v>
      </c>
      <c r="X149" s="2">
        <v>0.16750395618440977</v>
      </c>
      <c r="Y149" s="2">
        <v>0.16167469180525298</v>
      </c>
      <c r="Z149" s="2">
        <v>0.16959840051936903</v>
      </c>
      <c r="AA149" s="2">
        <v>0.17211140165828323</v>
      </c>
      <c r="AB149" s="2">
        <v>0.1752165792745215</v>
      </c>
      <c r="AC149" s="2">
        <v>0.18363343866577073</v>
      </c>
      <c r="AD149" s="2">
        <v>0.18731942955312175</v>
      </c>
      <c r="AE149" s="2">
        <v>0.19563608643211453</v>
      </c>
      <c r="AF149" s="2">
        <v>0.19871005901220046</v>
      </c>
      <c r="AG149" s="2">
        <v>0.20300859418326514</v>
      </c>
      <c r="AH149" s="2">
        <v>0.19683697174557174</v>
      </c>
      <c r="AI149" s="2">
        <v>0.20901075088679699</v>
      </c>
      <c r="AJ149" s="2">
        <v>0.22312321105926741</v>
      </c>
      <c r="AK149" s="2">
        <v>0.23412750792598472</v>
      </c>
      <c r="AL149" s="2">
        <v>0.21089620277254487</v>
      </c>
      <c r="AM149" s="2">
        <v>0.20717329380309712</v>
      </c>
    </row>
    <row r="150" spans="1:39" x14ac:dyDescent="0.15">
      <c r="A150" s="2" t="s">
        <v>67</v>
      </c>
      <c r="G150" s="2">
        <v>2.7675079549050962E-3</v>
      </c>
      <c r="H150" s="2">
        <v>2.0289941385157931E-3</v>
      </c>
      <c r="I150" s="2">
        <v>2.6000643454929541E-3</v>
      </c>
      <c r="J150" s="2">
        <v>2.8544857471796861E-3</v>
      </c>
      <c r="K150" s="2">
        <v>2.8695660711739427E-3</v>
      </c>
      <c r="L150" s="2">
        <v>2.5783394344123566E-3</v>
      </c>
      <c r="M150" s="2">
        <v>3.1155112108863943E-3</v>
      </c>
      <c r="N150" s="2">
        <v>2.8629518621849904E-3</v>
      </c>
      <c r="O150" s="2">
        <v>3.1210117405164554E-3</v>
      </c>
      <c r="P150" s="2">
        <v>3.3717148224628696E-3</v>
      </c>
      <c r="Q150" s="2">
        <v>4.0623749884526987E-3</v>
      </c>
      <c r="R150" s="2">
        <v>4.2819952298482752E-3</v>
      </c>
      <c r="S150" s="2">
        <v>5.3461635487129311E-3</v>
      </c>
      <c r="T150" s="2">
        <v>9.7144409503887533E-3</v>
      </c>
      <c r="U150" s="2">
        <v>1.3282893800300698E-2</v>
      </c>
      <c r="V150" s="2">
        <v>3.6962258476848061E-3</v>
      </c>
      <c r="W150" s="2">
        <v>3.1725996560815141E-3</v>
      </c>
      <c r="X150" s="2">
        <v>2.5640611388355835E-3</v>
      </c>
      <c r="Y150" s="2">
        <v>1.9861245686542198E-3</v>
      </c>
      <c r="Z150" s="2">
        <v>1.6564998289873561E-3</v>
      </c>
      <c r="AA150" s="2">
        <v>1.8894408074384122E-3</v>
      </c>
      <c r="AB150" s="2">
        <v>1.8093861268524555E-3</v>
      </c>
      <c r="AC150" s="2">
        <v>1.8531508769836942E-3</v>
      </c>
      <c r="AD150" s="2">
        <v>2.1131555813945152E-3</v>
      </c>
      <c r="AE150" s="2">
        <v>2.4853845931618371E-3</v>
      </c>
      <c r="AF150" s="2">
        <v>3.0841138852700516E-3</v>
      </c>
      <c r="AG150" s="2">
        <v>3.3944054571092503E-3</v>
      </c>
      <c r="AH150" s="2">
        <v>3.6808649498272367E-3</v>
      </c>
      <c r="AI150" s="2">
        <v>3.3538455203868875E-3</v>
      </c>
      <c r="AJ150" s="2">
        <v>4.3529033419332126E-3</v>
      </c>
      <c r="AK150" s="2">
        <v>3.9172630281167483E-3</v>
      </c>
      <c r="AL150" s="2">
        <v>4.2139266359170029E-3</v>
      </c>
      <c r="AM150" s="2">
        <v>2.7624919735277421E-3</v>
      </c>
    </row>
    <row r="151" spans="1:39" x14ac:dyDescent="0.15">
      <c r="A151" s="2" t="s">
        <v>68</v>
      </c>
      <c r="G151" s="2">
        <v>1.7433006768084243E-2</v>
      </c>
      <c r="H151" s="2">
        <v>1.6361029017646665E-2</v>
      </c>
      <c r="I151" s="2">
        <v>1.4869939510792726E-2</v>
      </c>
      <c r="J151" s="2">
        <v>1.4366788412762864E-2</v>
      </c>
      <c r="K151" s="2">
        <v>1.7270965113861662E-2</v>
      </c>
      <c r="L151" s="2">
        <v>2.5672747289180779E-2</v>
      </c>
      <c r="M151" s="2">
        <v>2.7221894152891075E-2</v>
      </c>
      <c r="N151" s="2">
        <v>2.7690922028608712E-2</v>
      </c>
      <c r="O151" s="2">
        <v>2.5872792352960201E-2</v>
      </c>
      <c r="P151" s="2">
        <v>2.8638815779933574E-2</v>
      </c>
      <c r="Q151" s="2">
        <v>3.1187244481181167E-2</v>
      </c>
      <c r="R151" s="2">
        <v>4.2835296176955695E-2</v>
      </c>
      <c r="S151" s="2">
        <v>4.9100291779477806E-2</v>
      </c>
      <c r="T151" s="2">
        <v>5.085609673496478E-2</v>
      </c>
      <c r="U151" s="2">
        <v>6.0913299757133478E-2</v>
      </c>
      <c r="V151" s="2">
        <v>1.5775179834696684E-2</v>
      </c>
      <c r="W151" s="2">
        <v>1.7388786694420323E-2</v>
      </c>
      <c r="X151" s="2">
        <v>1.4475531868208619E-2</v>
      </c>
      <c r="Y151" s="2">
        <v>9.8498017519593473E-3</v>
      </c>
      <c r="Z151" s="2">
        <v>8.1940163882944991E-3</v>
      </c>
      <c r="AA151" s="2">
        <v>8.2049040569868153E-3</v>
      </c>
      <c r="AB151" s="2">
        <v>7.7202384216313296E-3</v>
      </c>
      <c r="AC151" s="2">
        <v>8.2940128386416786E-3</v>
      </c>
      <c r="AD151" s="2">
        <v>7.7692546807191813E-3</v>
      </c>
      <c r="AE151" s="2">
        <v>7.607492496915033E-3</v>
      </c>
      <c r="AF151" s="2">
        <v>8.9119075144341395E-3</v>
      </c>
      <c r="AG151" s="2">
        <v>9.2242640928564303E-3</v>
      </c>
      <c r="AH151" s="2">
        <v>1.0543331269816984E-2</v>
      </c>
      <c r="AI151" s="2">
        <v>1.0457624360487319E-2</v>
      </c>
      <c r="AJ151" s="2">
        <v>1.0726884840631964E-2</v>
      </c>
      <c r="AK151" s="2">
        <v>1.2610289637759398E-2</v>
      </c>
      <c r="AL151" s="2">
        <v>1.2580726217185111E-2</v>
      </c>
      <c r="AM151" s="2">
        <v>9.7172877923963306E-3</v>
      </c>
    </row>
  </sheetData>
  <mergeCells count="4">
    <mergeCell ref="A1:AJ2"/>
    <mergeCell ref="A78:AJ79"/>
    <mergeCell ref="A56:AJ57"/>
    <mergeCell ref="A104:AJ1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9CBD-0D20-6644-B00D-F6F4DB9E21B2}">
  <dimension ref="A1"/>
  <sheetViews>
    <sheetView zoomScale="66" workbookViewId="0">
      <selection activeCell="N97" sqref="N9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 (capital region def.)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2026-03-23T14:18:59Z</dcterms:created>
  <dcterms:modified xsi:type="dcterms:W3CDTF">2026-05-31T11:01:14Z</dcterms:modified>
</cp:coreProperties>
</file>