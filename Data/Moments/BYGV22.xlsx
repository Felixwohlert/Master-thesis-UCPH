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mc:AlternateContent xmlns:mc="http://schemas.openxmlformats.org/markup-compatibility/2006">
    <mc:Choice Requires="x15">
      <x15ac:absPath xmlns:x15ac="http://schemas.microsoft.com/office/spreadsheetml/2010/11/ac" url="/Users/felixwohlert/Desktop/Speciale/Code for thesis/Data/Moments/"/>
    </mc:Choice>
  </mc:AlternateContent>
  <xr:revisionPtr revIDLastSave="0" documentId="13_ncr:1_{EB27E31C-0350-464C-87CB-16FF3350BFF5}" xr6:coauthVersionLast="47" xr6:coauthVersionMax="47" xr10:uidLastSave="{00000000-0000-0000-0000-000000000000}"/>
  <bookViews>
    <workbookView xWindow="0" yWindow="520" windowWidth="28800" windowHeight="16360" xr2:uid="{00000000-000D-0000-FFFF-FFFF00000000}"/>
  </bookViews>
  <sheets>
    <sheet name="BYGV2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 l="1"/>
  <c r="E11" i="2"/>
  <c r="F11" i="2"/>
  <c r="G11" i="2"/>
  <c r="H11" i="2"/>
  <c r="I11" i="2"/>
  <c r="J11" i="2"/>
  <c r="K11" i="2"/>
  <c r="L11" i="2"/>
  <c r="M11" i="2"/>
  <c r="N11" i="2"/>
  <c r="O11" i="2"/>
  <c r="P11" i="2"/>
  <c r="Q11" i="2"/>
  <c r="R11" i="2"/>
  <c r="S11" i="2"/>
  <c r="T11" i="2"/>
  <c r="U11" i="2"/>
  <c r="V11" i="2"/>
  <c r="D12" i="2"/>
  <c r="E12" i="2"/>
  <c r="F12" i="2"/>
  <c r="G12" i="2"/>
  <c r="H12" i="2"/>
  <c r="I12" i="2"/>
  <c r="J12" i="2"/>
  <c r="K12" i="2"/>
  <c r="L12" i="2"/>
  <c r="M12" i="2"/>
  <c r="N12" i="2"/>
  <c r="O12" i="2"/>
  <c r="P12" i="2"/>
  <c r="Q12" i="2"/>
  <c r="R12" i="2"/>
  <c r="S12" i="2"/>
  <c r="T12" i="2"/>
  <c r="U12" i="2"/>
  <c r="V12" i="2"/>
  <c r="D13" i="2"/>
  <c r="E13" i="2"/>
  <c r="F13" i="2"/>
  <c r="G13" i="2"/>
  <c r="H13" i="2"/>
  <c r="I13" i="2"/>
  <c r="J13" i="2"/>
  <c r="K13" i="2"/>
  <c r="L13" i="2"/>
  <c r="M13" i="2"/>
  <c r="N13" i="2"/>
  <c r="O13" i="2"/>
  <c r="P13" i="2"/>
  <c r="Q13" i="2"/>
  <c r="R13" i="2"/>
  <c r="S13" i="2"/>
  <c r="T13" i="2"/>
  <c r="U13" i="2"/>
  <c r="V13" i="2"/>
  <c r="C12" i="2"/>
  <c r="C13" i="2"/>
  <c r="C11" i="2"/>
  <c r="E10" i="2"/>
  <c r="F10" i="2" s="1"/>
  <c r="G10" i="2" s="1"/>
  <c r="H10" i="2" s="1"/>
  <c r="I10" i="2" s="1"/>
  <c r="J10" i="2" s="1"/>
  <c r="K10" i="2" s="1"/>
  <c r="L10" i="2" s="1"/>
  <c r="M10" i="2" s="1"/>
  <c r="N10" i="2" s="1"/>
  <c r="O10" i="2" s="1"/>
  <c r="P10" i="2" s="1"/>
  <c r="Q10" i="2" s="1"/>
  <c r="R10" i="2" s="1"/>
  <c r="S10" i="2" s="1"/>
  <c r="T10" i="2" s="1"/>
  <c r="U10" i="2" s="1"/>
  <c r="V10" i="2" s="1"/>
  <c r="D10" i="2"/>
</calcChain>
</file>

<file path=xl/sharedStrings.xml><?xml version="1.0" encoding="utf-8"?>
<sst xmlns="http://schemas.openxmlformats.org/spreadsheetml/2006/main" count="90" uniqueCount="87">
  <si>
    <t>Fuldført byggeri (ikke korrigeret for forsinkelser) efter enhed, område og tid</t>
  </si>
  <si>
    <t>Enhed: -</t>
  </si>
  <si>
    <t>2006K1</t>
  </si>
  <si>
    <t>2006K2</t>
  </si>
  <si>
    <t>2006K3</t>
  </si>
  <si>
    <t>2006K4</t>
  </si>
  <si>
    <t>2007K1</t>
  </si>
  <si>
    <t>2007K2</t>
  </si>
  <si>
    <t>2007K3</t>
  </si>
  <si>
    <t>2007K4</t>
  </si>
  <si>
    <t>2008K1</t>
  </si>
  <si>
    <t>2008K2</t>
  </si>
  <si>
    <t>2008K3</t>
  </si>
  <si>
    <t>2008K4</t>
  </si>
  <si>
    <t>2009K1</t>
  </si>
  <si>
    <t>2009K2</t>
  </si>
  <si>
    <t>2009K3</t>
  </si>
  <si>
    <t>2009K4</t>
  </si>
  <si>
    <t>2010K1</t>
  </si>
  <si>
    <t>2010K2</t>
  </si>
  <si>
    <t>2010K3</t>
  </si>
  <si>
    <t>2010K4</t>
  </si>
  <si>
    <t>2011K1</t>
  </si>
  <si>
    <t>2011K2</t>
  </si>
  <si>
    <t>2011K3</t>
  </si>
  <si>
    <t>2011K4</t>
  </si>
  <si>
    <t>2012K1</t>
  </si>
  <si>
    <t>2012K2</t>
  </si>
  <si>
    <t>2012K3</t>
  </si>
  <si>
    <t>2012K4</t>
  </si>
  <si>
    <t>2013K1</t>
  </si>
  <si>
    <t>2013K2</t>
  </si>
  <si>
    <t>2013K3</t>
  </si>
  <si>
    <t>2013K4</t>
  </si>
  <si>
    <t>2014K1</t>
  </si>
  <si>
    <t>2014K2</t>
  </si>
  <si>
    <t>2014K3</t>
  </si>
  <si>
    <t>2014K4</t>
  </si>
  <si>
    <t>2015K1</t>
  </si>
  <si>
    <t>2015K2</t>
  </si>
  <si>
    <t>2015K3</t>
  </si>
  <si>
    <t>2015K4</t>
  </si>
  <si>
    <t>2016K1</t>
  </si>
  <si>
    <t>2016K2</t>
  </si>
  <si>
    <t>2016K3</t>
  </si>
  <si>
    <t>2016K4</t>
  </si>
  <si>
    <t>2017K1</t>
  </si>
  <si>
    <t>2017K2</t>
  </si>
  <si>
    <t>2017K3</t>
  </si>
  <si>
    <t>2017K4</t>
  </si>
  <si>
    <t>2018K1</t>
  </si>
  <si>
    <t>2018K2</t>
  </si>
  <si>
    <t>2018K3</t>
  </si>
  <si>
    <t>2018K4</t>
  </si>
  <si>
    <t>2019K1</t>
  </si>
  <si>
    <t>2019K2</t>
  </si>
  <si>
    <t>2019K3</t>
  </si>
  <si>
    <t>2019K4</t>
  </si>
  <si>
    <t>2020K1</t>
  </si>
  <si>
    <t>2020K2</t>
  </si>
  <si>
    <t>2020K3</t>
  </si>
  <si>
    <t>2020K4</t>
  </si>
  <si>
    <t>2021K1</t>
  </si>
  <si>
    <t>2021K2</t>
  </si>
  <si>
    <t>2021K3</t>
  </si>
  <si>
    <t>2021K4</t>
  </si>
  <si>
    <t>2022K1</t>
  </si>
  <si>
    <t>2022K2</t>
  </si>
  <si>
    <t>2022K3</t>
  </si>
  <si>
    <t>2022K4</t>
  </si>
  <si>
    <t>2023K1</t>
  </si>
  <si>
    <t>2023K2</t>
  </si>
  <si>
    <t>2023K3</t>
  </si>
  <si>
    <t>2023K4</t>
  </si>
  <si>
    <t>2024K1</t>
  </si>
  <si>
    <t>2024K2</t>
  </si>
  <si>
    <t>2024K3</t>
  </si>
  <si>
    <t>2024K4</t>
  </si>
  <si>
    <t>2025K1</t>
  </si>
  <si>
    <t>2025K2</t>
  </si>
  <si>
    <t>2025K3</t>
  </si>
  <si>
    <t>2025K4</t>
  </si>
  <si>
    <t>Samlet etageareal (m2)</t>
  </si>
  <si>
    <t>Hele landet</t>
  </si>
  <si>
    <t>Region Hovedstaden</t>
  </si>
  <si>
    <t>Landsdel Byen København</t>
  </si>
  <si>
    <t xml:space="preserve">Overgangen til den nye version af BBR (ny struktur og nye metoder) i juni 2017 betød i forbindelse med offentliggørelsen af 4. kvartal 2017 og 1. kvartal 2018 store revisioner af alle byggestatistikkens tidsserier. For opgørelserne af tilladt og især påbegyndt byggeri er der dog stadig en betydelig usikkerhed om tallene for det seneste, løbende 1½ år. Det forventes, at der senere vil komme væsentlige opjusteringer af disse tal, når data er blevet registeret i BBR.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</si>
</sst>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3"/>
      <color rgb="FF000000"/>
      <name val="Calibri"/>
      <family val="2"/>
    </font>
    <font>
      <i/>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8">
    <xf numFmtId="0" fontId="0" fillId="0" borderId="0" xfId="0"/>
    <xf numFmtId="0" fontId="1" fillId="0" borderId="0" xfId="0" applyFont="1"/>
    <xf numFmtId="0" fontId="2" fillId="0" borderId="0" xfId="0" applyFont="1"/>
    <xf numFmtId="0" fontId="3" fillId="0" borderId="0" xfId="0" applyFont="1" applyAlignment="1">
      <alignment horizontal="left"/>
    </xf>
    <xf numFmtId="0" fontId="0" fillId="0" borderId="0" xfId="0" applyAlignment="1">
      <alignment horizontal="right"/>
    </xf>
    <xf numFmtId="0" fontId="2" fillId="0" borderId="0" xfId="0" applyFont="1" applyAlignment="1">
      <alignment wrapText="1"/>
    </xf>
    <xf numFmtId="0" fontId="3" fillId="0" borderId="0" xfId="0" applyFont="1" applyAlignment="1">
      <alignment horizontal="right"/>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13"/>
  <sheetViews>
    <sheetView tabSelected="1" topLeftCell="B1" workbookViewId="0">
      <selection activeCell="C11" sqref="C11:V13"/>
    </sheetView>
  </sheetViews>
  <sheetFormatPr baseColWidth="10" defaultColWidth="8.83203125" defaultRowHeight="15" x14ac:dyDescent="0.2"/>
  <cols>
    <col min="1" max="1" width="40.6640625" customWidth="1"/>
    <col min="2" max="2" width="26.1640625" customWidth="1"/>
    <col min="3" max="82" width="9.1640625" customWidth="1"/>
  </cols>
  <sheetData>
    <row r="1" spans="1:82" ht="17" x14ac:dyDescent="0.2">
      <c r="A1" s="1" t="s">
        <v>0</v>
      </c>
    </row>
    <row r="2" spans="1:82" x14ac:dyDescent="0.2">
      <c r="A2" s="2" t="s">
        <v>1</v>
      </c>
    </row>
    <row r="3" spans="1:82" x14ac:dyDescent="0.2">
      <c r="C3" s="3" t="s">
        <v>2</v>
      </c>
      <c r="D3" s="3" t="s">
        <v>3</v>
      </c>
      <c r="E3" s="3" t="s">
        <v>4</v>
      </c>
      <c r="F3" s="3" t="s">
        <v>5</v>
      </c>
      <c r="G3" s="3" t="s">
        <v>6</v>
      </c>
      <c r="H3" s="3" t="s">
        <v>7</v>
      </c>
      <c r="I3" s="3" t="s">
        <v>8</v>
      </c>
      <c r="J3" s="3" t="s">
        <v>9</v>
      </c>
      <c r="K3" s="3" t="s">
        <v>10</v>
      </c>
      <c r="L3" s="3" t="s">
        <v>11</v>
      </c>
      <c r="M3" s="3" t="s">
        <v>12</v>
      </c>
      <c r="N3" s="3" t="s">
        <v>13</v>
      </c>
      <c r="O3" s="3" t="s">
        <v>14</v>
      </c>
      <c r="P3" s="3" t="s">
        <v>15</v>
      </c>
      <c r="Q3" s="3" t="s">
        <v>16</v>
      </c>
      <c r="R3" s="3" t="s">
        <v>17</v>
      </c>
      <c r="S3" s="3" t="s">
        <v>18</v>
      </c>
      <c r="T3" s="3" t="s">
        <v>19</v>
      </c>
      <c r="U3" s="3" t="s">
        <v>20</v>
      </c>
      <c r="V3" s="3" t="s">
        <v>21</v>
      </c>
      <c r="W3" s="3" t="s">
        <v>22</v>
      </c>
      <c r="X3" s="3" t="s">
        <v>23</v>
      </c>
      <c r="Y3" s="3" t="s">
        <v>24</v>
      </c>
      <c r="Z3" s="3" t="s">
        <v>25</v>
      </c>
      <c r="AA3" s="3" t="s">
        <v>26</v>
      </c>
      <c r="AB3" s="3" t="s">
        <v>27</v>
      </c>
      <c r="AC3" s="3" t="s">
        <v>28</v>
      </c>
      <c r="AD3" s="3" t="s">
        <v>29</v>
      </c>
      <c r="AE3" s="3" t="s">
        <v>30</v>
      </c>
      <c r="AF3" s="3" t="s">
        <v>31</v>
      </c>
      <c r="AG3" s="3" t="s">
        <v>32</v>
      </c>
      <c r="AH3" s="3" t="s">
        <v>33</v>
      </c>
      <c r="AI3" s="3" t="s">
        <v>34</v>
      </c>
      <c r="AJ3" s="3" t="s">
        <v>35</v>
      </c>
      <c r="AK3" s="3" t="s">
        <v>36</v>
      </c>
      <c r="AL3" s="3" t="s">
        <v>37</v>
      </c>
      <c r="AM3" s="3" t="s">
        <v>38</v>
      </c>
      <c r="AN3" s="3" t="s">
        <v>39</v>
      </c>
      <c r="AO3" s="3" t="s">
        <v>40</v>
      </c>
      <c r="AP3" s="3" t="s">
        <v>41</v>
      </c>
      <c r="AQ3" s="3" t="s">
        <v>42</v>
      </c>
      <c r="AR3" s="3" t="s">
        <v>43</v>
      </c>
      <c r="AS3" s="3" t="s">
        <v>44</v>
      </c>
      <c r="AT3" s="3" t="s">
        <v>45</v>
      </c>
      <c r="AU3" s="3" t="s">
        <v>46</v>
      </c>
      <c r="AV3" s="3" t="s">
        <v>47</v>
      </c>
      <c r="AW3" s="3" t="s">
        <v>48</v>
      </c>
      <c r="AX3" s="3" t="s">
        <v>49</v>
      </c>
      <c r="AY3" s="3" t="s">
        <v>50</v>
      </c>
      <c r="AZ3" s="3" t="s">
        <v>51</v>
      </c>
      <c r="BA3" s="3" t="s">
        <v>52</v>
      </c>
      <c r="BB3" s="3" t="s">
        <v>53</v>
      </c>
      <c r="BC3" s="3" t="s">
        <v>54</v>
      </c>
      <c r="BD3" s="3" t="s">
        <v>55</v>
      </c>
      <c r="BE3" s="3" t="s">
        <v>56</v>
      </c>
      <c r="BF3" s="3" t="s">
        <v>57</v>
      </c>
      <c r="BG3" s="3" t="s">
        <v>58</v>
      </c>
      <c r="BH3" s="3" t="s">
        <v>59</v>
      </c>
      <c r="BI3" s="3" t="s">
        <v>60</v>
      </c>
      <c r="BJ3" s="3" t="s">
        <v>61</v>
      </c>
      <c r="BK3" s="3" t="s">
        <v>62</v>
      </c>
      <c r="BL3" s="3" t="s">
        <v>63</v>
      </c>
      <c r="BM3" s="3" t="s">
        <v>64</v>
      </c>
      <c r="BN3" s="3" t="s">
        <v>65</v>
      </c>
      <c r="BO3" s="3" t="s">
        <v>66</v>
      </c>
      <c r="BP3" s="3" t="s">
        <v>67</v>
      </c>
      <c r="BQ3" s="3" t="s">
        <v>68</v>
      </c>
      <c r="BR3" s="3" t="s">
        <v>69</v>
      </c>
      <c r="BS3" s="3" t="s">
        <v>70</v>
      </c>
      <c r="BT3" s="3" t="s">
        <v>71</v>
      </c>
      <c r="BU3" s="3" t="s">
        <v>72</v>
      </c>
      <c r="BV3" s="3" t="s">
        <v>73</v>
      </c>
      <c r="BW3" s="3" t="s">
        <v>74</v>
      </c>
      <c r="BX3" s="3" t="s">
        <v>75</v>
      </c>
      <c r="BY3" s="3" t="s">
        <v>76</v>
      </c>
      <c r="BZ3" s="3" t="s">
        <v>77</v>
      </c>
      <c r="CA3" s="3" t="s">
        <v>78</v>
      </c>
      <c r="CB3" s="3" t="s">
        <v>79</v>
      </c>
      <c r="CC3" s="3" t="s">
        <v>80</v>
      </c>
      <c r="CD3" s="3" t="s">
        <v>81</v>
      </c>
    </row>
    <row r="4" spans="1:82" x14ac:dyDescent="0.2">
      <c r="A4" s="3" t="s">
        <v>82</v>
      </c>
      <c r="B4" s="3" t="s">
        <v>83</v>
      </c>
      <c r="C4" s="4">
        <v>2110972</v>
      </c>
      <c r="D4" s="4">
        <v>2066130</v>
      </c>
      <c r="E4" s="4">
        <v>3015321</v>
      </c>
      <c r="F4" s="4">
        <v>3256909</v>
      </c>
      <c r="G4" s="4">
        <v>2317786</v>
      </c>
      <c r="H4" s="4">
        <v>2063063</v>
      </c>
      <c r="I4" s="4">
        <v>2855861</v>
      </c>
      <c r="J4" s="4">
        <v>3151291</v>
      </c>
      <c r="K4" s="4">
        <v>2448461</v>
      </c>
      <c r="L4" s="4">
        <v>2466280</v>
      </c>
      <c r="M4" s="4">
        <v>3201668</v>
      </c>
      <c r="N4" s="4">
        <v>3111279</v>
      </c>
      <c r="O4" s="4">
        <v>2675523</v>
      </c>
      <c r="P4" s="4">
        <v>2464263</v>
      </c>
      <c r="Q4" s="4">
        <v>2538468</v>
      </c>
      <c r="R4" s="4">
        <v>2108318</v>
      </c>
      <c r="S4" s="4">
        <v>1554038</v>
      </c>
      <c r="T4" s="4">
        <v>1327558</v>
      </c>
      <c r="U4" s="4">
        <v>2190178</v>
      </c>
      <c r="V4" s="4">
        <v>1758494</v>
      </c>
      <c r="W4" s="4">
        <v>1311208</v>
      </c>
      <c r="X4" s="4">
        <v>1353170</v>
      </c>
      <c r="Y4" s="4">
        <v>1681552</v>
      </c>
      <c r="Z4" s="4">
        <v>1656048</v>
      </c>
      <c r="AA4" s="4">
        <v>1688485</v>
      </c>
      <c r="AB4" s="4">
        <v>1396029</v>
      </c>
      <c r="AC4" s="4">
        <v>1774721</v>
      </c>
      <c r="AD4" s="4">
        <v>1556136</v>
      </c>
      <c r="AE4" s="4">
        <v>1359856</v>
      </c>
      <c r="AF4" s="4">
        <v>1463007</v>
      </c>
      <c r="AG4" s="4">
        <v>1661538</v>
      </c>
      <c r="AH4" s="4">
        <v>1654023</v>
      </c>
      <c r="AI4" s="4">
        <v>1511968</v>
      </c>
      <c r="AJ4" s="4">
        <v>1359987</v>
      </c>
      <c r="AK4" s="4">
        <v>1979276</v>
      </c>
      <c r="AL4" s="4">
        <v>1737023</v>
      </c>
      <c r="AM4" s="4">
        <v>1213975</v>
      </c>
      <c r="AN4" s="4">
        <v>1321875</v>
      </c>
      <c r="AO4" s="4">
        <v>1893885</v>
      </c>
      <c r="AP4" s="4">
        <v>1730150</v>
      </c>
      <c r="AQ4" s="4">
        <v>1444978</v>
      </c>
      <c r="AR4" s="4">
        <v>1496795</v>
      </c>
      <c r="AS4" s="4">
        <v>1693528</v>
      </c>
      <c r="AT4" s="4">
        <v>1612951</v>
      </c>
      <c r="AU4" s="4">
        <v>1542364</v>
      </c>
      <c r="AV4" s="4">
        <v>1733400</v>
      </c>
      <c r="AW4" s="4">
        <v>1883513</v>
      </c>
      <c r="AX4" s="4">
        <v>2183510</v>
      </c>
      <c r="AY4" s="4">
        <v>1600762</v>
      </c>
      <c r="AZ4" s="4">
        <v>1923494</v>
      </c>
      <c r="BA4" s="4">
        <v>1929248</v>
      </c>
      <c r="BB4" s="4">
        <v>2077335</v>
      </c>
      <c r="BC4" s="4">
        <v>2045315</v>
      </c>
      <c r="BD4" s="4">
        <v>2201625</v>
      </c>
      <c r="BE4" s="4">
        <v>2035802</v>
      </c>
      <c r="BF4" s="4">
        <v>2126063</v>
      </c>
      <c r="BG4" s="4">
        <v>1969481</v>
      </c>
      <c r="BH4" s="4">
        <v>1802520</v>
      </c>
      <c r="BI4" s="4">
        <v>1944669</v>
      </c>
      <c r="BJ4" s="4">
        <v>2054675</v>
      </c>
      <c r="BK4" s="4">
        <v>2054319</v>
      </c>
      <c r="BL4" s="4">
        <v>2120041</v>
      </c>
      <c r="BM4" s="4">
        <v>1835856</v>
      </c>
      <c r="BN4" s="4">
        <v>2153483</v>
      </c>
      <c r="BO4" s="4">
        <v>2052637</v>
      </c>
      <c r="BP4" s="4">
        <v>2194208</v>
      </c>
      <c r="BQ4" s="4">
        <v>2176063</v>
      </c>
      <c r="BR4" s="4">
        <v>2573890</v>
      </c>
      <c r="BS4" s="4">
        <v>2446478</v>
      </c>
      <c r="BT4" s="4">
        <v>2350114</v>
      </c>
      <c r="BU4" s="4">
        <v>2034079</v>
      </c>
      <c r="BV4" s="4">
        <v>2573889</v>
      </c>
      <c r="BW4" s="4">
        <v>1584824</v>
      </c>
      <c r="BX4" s="4">
        <v>1791270</v>
      </c>
      <c r="BY4" s="4">
        <v>1720284</v>
      </c>
      <c r="BZ4" s="4">
        <v>1879649</v>
      </c>
      <c r="CA4" s="4">
        <v>1730827</v>
      </c>
      <c r="CB4" s="4">
        <v>1698504</v>
      </c>
      <c r="CC4" s="4">
        <v>1395645</v>
      </c>
      <c r="CD4" s="4">
        <v>1524059</v>
      </c>
    </row>
    <row r="5" spans="1:82" x14ac:dyDescent="0.2">
      <c r="B5" s="3" t="s">
        <v>84</v>
      </c>
      <c r="C5" s="4">
        <v>324391</v>
      </c>
      <c r="D5" s="4">
        <v>381791</v>
      </c>
      <c r="E5" s="4">
        <v>490952</v>
      </c>
      <c r="F5" s="4">
        <v>442178</v>
      </c>
      <c r="G5" s="4">
        <v>435293</v>
      </c>
      <c r="H5" s="4">
        <v>427521</v>
      </c>
      <c r="I5" s="4">
        <v>453334</v>
      </c>
      <c r="J5" s="4">
        <v>449136</v>
      </c>
      <c r="K5" s="4">
        <v>431887</v>
      </c>
      <c r="L5" s="4">
        <v>300191</v>
      </c>
      <c r="M5" s="4">
        <v>489017</v>
      </c>
      <c r="N5" s="4">
        <v>354129</v>
      </c>
      <c r="O5" s="4">
        <v>318410</v>
      </c>
      <c r="P5" s="4">
        <v>341482</v>
      </c>
      <c r="Q5" s="4">
        <v>415803</v>
      </c>
      <c r="R5" s="4">
        <v>275467</v>
      </c>
      <c r="S5" s="4">
        <v>212356</v>
      </c>
      <c r="T5" s="4">
        <v>180616</v>
      </c>
      <c r="U5" s="4">
        <v>369626</v>
      </c>
      <c r="V5" s="4">
        <v>271534</v>
      </c>
      <c r="W5" s="4">
        <v>219903</v>
      </c>
      <c r="X5" s="4">
        <v>177668</v>
      </c>
      <c r="Y5" s="4">
        <v>236153</v>
      </c>
      <c r="Z5" s="4">
        <v>272993</v>
      </c>
      <c r="AA5" s="4">
        <v>302751</v>
      </c>
      <c r="AB5" s="4">
        <v>220927</v>
      </c>
      <c r="AC5" s="4">
        <v>275123</v>
      </c>
      <c r="AD5" s="4">
        <v>283747</v>
      </c>
      <c r="AE5" s="4">
        <v>244531</v>
      </c>
      <c r="AF5" s="4">
        <v>244245</v>
      </c>
      <c r="AG5" s="4">
        <v>290753</v>
      </c>
      <c r="AH5" s="4">
        <v>263099</v>
      </c>
      <c r="AI5" s="4">
        <v>307461</v>
      </c>
      <c r="AJ5" s="4">
        <v>204315</v>
      </c>
      <c r="AK5" s="4">
        <v>326107</v>
      </c>
      <c r="AL5" s="4">
        <v>227114</v>
      </c>
      <c r="AM5" s="4">
        <v>226403</v>
      </c>
      <c r="AN5" s="4">
        <v>271609</v>
      </c>
      <c r="AO5" s="4">
        <v>255670</v>
      </c>
      <c r="AP5" s="4">
        <v>408933</v>
      </c>
      <c r="AQ5" s="4">
        <v>339351</v>
      </c>
      <c r="AR5" s="4">
        <v>351571</v>
      </c>
      <c r="AS5" s="4">
        <v>328845</v>
      </c>
      <c r="AT5" s="4">
        <v>339215</v>
      </c>
      <c r="AU5" s="4">
        <v>314499</v>
      </c>
      <c r="AV5" s="4">
        <v>418769</v>
      </c>
      <c r="AW5" s="4">
        <v>368524</v>
      </c>
      <c r="AX5" s="4">
        <v>561272</v>
      </c>
      <c r="AY5" s="4">
        <v>359039</v>
      </c>
      <c r="AZ5" s="4">
        <v>465588</v>
      </c>
      <c r="BA5" s="4">
        <v>461798</v>
      </c>
      <c r="BB5" s="4">
        <v>501445</v>
      </c>
      <c r="BC5" s="4">
        <v>477790</v>
      </c>
      <c r="BD5" s="4">
        <v>536915</v>
      </c>
      <c r="BE5" s="4">
        <v>444808</v>
      </c>
      <c r="BF5" s="4">
        <v>457075</v>
      </c>
      <c r="BG5" s="4">
        <v>451671</v>
      </c>
      <c r="BH5" s="4">
        <v>292822</v>
      </c>
      <c r="BI5" s="4">
        <v>440072</v>
      </c>
      <c r="BJ5" s="4">
        <v>461291</v>
      </c>
      <c r="BK5" s="4">
        <v>464702</v>
      </c>
      <c r="BL5" s="4">
        <v>577003</v>
      </c>
      <c r="BM5" s="4">
        <v>499418</v>
      </c>
      <c r="BN5" s="4">
        <v>491883</v>
      </c>
      <c r="BO5" s="4">
        <v>330619</v>
      </c>
      <c r="BP5" s="4">
        <v>421106</v>
      </c>
      <c r="BQ5" s="4">
        <v>453140</v>
      </c>
      <c r="BR5" s="4">
        <v>617657</v>
      </c>
      <c r="BS5" s="4">
        <v>551643</v>
      </c>
      <c r="BT5" s="4">
        <v>525582</v>
      </c>
      <c r="BU5" s="4">
        <v>409271</v>
      </c>
      <c r="BV5" s="4">
        <v>539349</v>
      </c>
      <c r="BW5" s="4">
        <v>295561</v>
      </c>
      <c r="BX5" s="4">
        <v>380408</v>
      </c>
      <c r="BY5" s="4">
        <v>265813</v>
      </c>
      <c r="BZ5" s="4">
        <v>360944</v>
      </c>
      <c r="CA5" s="4">
        <v>435192</v>
      </c>
      <c r="CB5" s="4">
        <v>247525</v>
      </c>
      <c r="CC5" s="4">
        <v>308924</v>
      </c>
      <c r="CD5" s="4">
        <v>315413</v>
      </c>
    </row>
    <row r="6" spans="1:82" x14ac:dyDescent="0.2">
      <c r="B6" s="3" t="s">
        <v>85</v>
      </c>
      <c r="C6" s="4">
        <v>139147</v>
      </c>
      <c r="D6" s="4">
        <v>136695</v>
      </c>
      <c r="E6" s="4">
        <v>209168</v>
      </c>
      <c r="F6" s="4">
        <v>100354</v>
      </c>
      <c r="G6" s="4">
        <v>189862</v>
      </c>
      <c r="H6" s="4">
        <v>161781</v>
      </c>
      <c r="I6" s="4">
        <v>126922</v>
      </c>
      <c r="J6" s="4">
        <v>163960</v>
      </c>
      <c r="K6" s="4">
        <v>164450</v>
      </c>
      <c r="L6" s="4">
        <v>95720</v>
      </c>
      <c r="M6" s="4">
        <v>167780</v>
      </c>
      <c r="N6" s="4">
        <v>70218</v>
      </c>
      <c r="O6" s="4">
        <v>92434</v>
      </c>
      <c r="P6" s="4">
        <v>107644</v>
      </c>
      <c r="Q6" s="4">
        <v>107860</v>
      </c>
      <c r="R6" s="4">
        <v>115799</v>
      </c>
      <c r="S6" s="4">
        <v>95274</v>
      </c>
      <c r="T6" s="4">
        <v>60341</v>
      </c>
      <c r="U6" s="4">
        <v>125417</v>
      </c>
      <c r="V6" s="4">
        <v>106116</v>
      </c>
      <c r="W6" s="4">
        <v>98146</v>
      </c>
      <c r="X6" s="4">
        <v>75576</v>
      </c>
      <c r="Y6" s="4">
        <v>61659</v>
      </c>
      <c r="Z6" s="4">
        <v>112175</v>
      </c>
      <c r="AA6" s="4">
        <v>123245</v>
      </c>
      <c r="AB6" s="4">
        <v>76751</v>
      </c>
      <c r="AC6" s="4">
        <v>66420</v>
      </c>
      <c r="AD6" s="4">
        <v>127198</v>
      </c>
      <c r="AE6" s="4">
        <v>66445</v>
      </c>
      <c r="AF6" s="4">
        <v>82225</v>
      </c>
      <c r="AG6" s="4">
        <v>102315</v>
      </c>
      <c r="AH6" s="4">
        <v>64877</v>
      </c>
      <c r="AI6" s="4">
        <v>167726</v>
      </c>
      <c r="AJ6" s="4">
        <v>83490</v>
      </c>
      <c r="AK6" s="4">
        <v>126715</v>
      </c>
      <c r="AL6" s="4">
        <v>65942</v>
      </c>
      <c r="AM6" s="4">
        <v>82705</v>
      </c>
      <c r="AN6" s="4">
        <v>119517</v>
      </c>
      <c r="AO6" s="4">
        <v>101090</v>
      </c>
      <c r="AP6" s="4">
        <v>142558</v>
      </c>
      <c r="AQ6" s="4">
        <v>145733</v>
      </c>
      <c r="AR6" s="4">
        <v>226241</v>
      </c>
      <c r="AS6" s="4">
        <v>161688</v>
      </c>
      <c r="AT6" s="4">
        <v>184993</v>
      </c>
      <c r="AU6" s="4">
        <v>166492</v>
      </c>
      <c r="AV6" s="4">
        <v>215495</v>
      </c>
      <c r="AW6" s="4">
        <v>165310</v>
      </c>
      <c r="AX6" s="4">
        <v>308985</v>
      </c>
      <c r="AY6" s="4">
        <v>180360</v>
      </c>
      <c r="AZ6" s="4">
        <v>227840</v>
      </c>
      <c r="BA6" s="4">
        <v>225704</v>
      </c>
      <c r="BB6" s="4">
        <v>235544</v>
      </c>
      <c r="BC6" s="4">
        <v>277674</v>
      </c>
      <c r="BD6" s="4">
        <v>249139</v>
      </c>
      <c r="BE6" s="4">
        <v>174724</v>
      </c>
      <c r="BF6" s="4">
        <v>160959</v>
      </c>
      <c r="BG6" s="4">
        <v>228402</v>
      </c>
      <c r="BH6" s="4">
        <v>111846</v>
      </c>
      <c r="BI6" s="4">
        <v>162852</v>
      </c>
      <c r="BJ6" s="4">
        <v>215543</v>
      </c>
      <c r="BK6" s="4">
        <v>214279</v>
      </c>
      <c r="BL6" s="4">
        <v>303850</v>
      </c>
      <c r="BM6" s="4">
        <v>255699</v>
      </c>
      <c r="BN6" s="4">
        <v>88718</v>
      </c>
      <c r="BO6" s="4">
        <v>97536</v>
      </c>
      <c r="BP6" s="4">
        <v>127067</v>
      </c>
      <c r="BQ6" s="4">
        <v>217050</v>
      </c>
      <c r="BR6" s="4">
        <v>118143</v>
      </c>
      <c r="BS6" s="4">
        <v>169894</v>
      </c>
      <c r="BT6" s="4">
        <v>270687</v>
      </c>
      <c r="BU6" s="4">
        <v>160242</v>
      </c>
      <c r="BV6" s="4">
        <v>204432</v>
      </c>
      <c r="BW6" s="4">
        <v>107980</v>
      </c>
      <c r="BX6" s="4">
        <v>92491</v>
      </c>
      <c r="BY6" s="4">
        <v>56347</v>
      </c>
      <c r="BZ6" s="4">
        <v>104499</v>
      </c>
      <c r="CA6" s="4">
        <v>185475</v>
      </c>
      <c r="CB6" s="4">
        <v>99413</v>
      </c>
      <c r="CC6" s="4">
        <v>67130</v>
      </c>
      <c r="CD6" s="4">
        <v>127064</v>
      </c>
    </row>
    <row r="8" spans="1:82" ht="160" x14ac:dyDescent="0.2">
      <c r="A8" s="5" t="s">
        <v>86</v>
      </c>
    </row>
    <row r="9" spans="1:82" x14ac:dyDescent="0.2">
      <c r="C9" s="4"/>
    </row>
    <row r="10" spans="1:82" x14ac:dyDescent="0.2">
      <c r="C10" s="6">
        <v>2006</v>
      </c>
      <c r="D10" s="7">
        <f>1+C10</f>
        <v>2007</v>
      </c>
      <c r="E10" s="7">
        <f t="shared" ref="E10:V10" si="0">1+D10</f>
        <v>2008</v>
      </c>
      <c r="F10" s="7">
        <f t="shared" si="0"/>
        <v>2009</v>
      </c>
      <c r="G10" s="7">
        <f t="shared" si="0"/>
        <v>2010</v>
      </c>
      <c r="H10" s="7">
        <f t="shared" si="0"/>
        <v>2011</v>
      </c>
      <c r="I10" s="7">
        <f t="shared" si="0"/>
        <v>2012</v>
      </c>
      <c r="J10" s="7">
        <f t="shared" si="0"/>
        <v>2013</v>
      </c>
      <c r="K10" s="7">
        <f t="shared" si="0"/>
        <v>2014</v>
      </c>
      <c r="L10" s="7">
        <f t="shared" si="0"/>
        <v>2015</v>
      </c>
      <c r="M10" s="7">
        <f t="shared" si="0"/>
        <v>2016</v>
      </c>
      <c r="N10" s="7">
        <f t="shared" si="0"/>
        <v>2017</v>
      </c>
      <c r="O10" s="7">
        <f t="shared" si="0"/>
        <v>2018</v>
      </c>
      <c r="P10" s="7">
        <f t="shared" si="0"/>
        <v>2019</v>
      </c>
      <c r="Q10" s="7">
        <f t="shared" si="0"/>
        <v>2020</v>
      </c>
      <c r="R10" s="7">
        <f t="shared" si="0"/>
        <v>2021</v>
      </c>
      <c r="S10" s="7">
        <f t="shared" si="0"/>
        <v>2022</v>
      </c>
      <c r="T10" s="7">
        <f t="shared" si="0"/>
        <v>2023</v>
      </c>
      <c r="U10" s="7">
        <f t="shared" si="0"/>
        <v>2024</v>
      </c>
      <c r="V10" s="7">
        <f t="shared" si="0"/>
        <v>2025</v>
      </c>
    </row>
    <row r="11" spans="1:82" x14ac:dyDescent="0.2">
      <c r="B11" s="3" t="s">
        <v>83</v>
      </c>
      <c r="C11">
        <f>SUM(C4:F4)</f>
        <v>10449332</v>
      </c>
      <c r="D11">
        <f t="shared" ref="D11:V13" si="1">SUM(D4:G4)</f>
        <v>10656146</v>
      </c>
      <c r="E11">
        <f t="shared" si="1"/>
        <v>10653079</v>
      </c>
      <c r="F11">
        <f t="shared" si="1"/>
        <v>10493619</v>
      </c>
      <c r="G11">
        <f t="shared" si="1"/>
        <v>10388001</v>
      </c>
      <c r="H11">
        <f t="shared" si="1"/>
        <v>10518676</v>
      </c>
      <c r="I11">
        <f t="shared" si="1"/>
        <v>10921893</v>
      </c>
      <c r="J11">
        <f t="shared" si="1"/>
        <v>11267700</v>
      </c>
      <c r="K11">
        <f t="shared" si="1"/>
        <v>11227688</v>
      </c>
      <c r="L11">
        <f t="shared" si="1"/>
        <v>11454750</v>
      </c>
      <c r="M11">
        <f t="shared" si="1"/>
        <v>11452733</v>
      </c>
      <c r="N11">
        <f t="shared" si="1"/>
        <v>10789533</v>
      </c>
      <c r="O11">
        <f t="shared" si="1"/>
        <v>9786572</v>
      </c>
      <c r="P11">
        <f t="shared" si="1"/>
        <v>8665087</v>
      </c>
      <c r="Q11">
        <f t="shared" si="1"/>
        <v>7528382</v>
      </c>
      <c r="R11">
        <f t="shared" si="1"/>
        <v>7180092</v>
      </c>
      <c r="S11">
        <f t="shared" si="1"/>
        <v>6830268</v>
      </c>
      <c r="T11">
        <f t="shared" si="1"/>
        <v>6587438</v>
      </c>
      <c r="U11">
        <f t="shared" si="1"/>
        <v>6613050</v>
      </c>
      <c r="V11">
        <f t="shared" si="1"/>
        <v>6104424</v>
      </c>
    </row>
    <row r="12" spans="1:82" x14ac:dyDescent="0.2">
      <c r="B12" s="3" t="s">
        <v>84</v>
      </c>
      <c r="C12">
        <f t="shared" ref="C12:C13" si="2">SUM(C5:F5)</f>
        <v>1639312</v>
      </c>
      <c r="D12">
        <f t="shared" si="1"/>
        <v>1750214</v>
      </c>
      <c r="E12">
        <f t="shared" si="1"/>
        <v>1795944</v>
      </c>
      <c r="F12">
        <f t="shared" si="1"/>
        <v>1758326</v>
      </c>
      <c r="G12">
        <f t="shared" si="1"/>
        <v>1765284</v>
      </c>
      <c r="H12">
        <f t="shared" si="1"/>
        <v>1761878</v>
      </c>
      <c r="I12">
        <f t="shared" si="1"/>
        <v>1634548</v>
      </c>
      <c r="J12">
        <f t="shared" si="1"/>
        <v>1670231</v>
      </c>
      <c r="K12">
        <f t="shared" si="1"/>
        <v>1575224</v>
      </c>
      <c r="L12">
        <f t="shared" si="1"/>
        <v>1461747</v>
      </c>
      <c r="M12">
        <f t="shared" si="1"/>
        <v>1503038</v>
      </c>
      <c r="N12">
        <f t="shared" si="1"/>
        <v>1429824</v>
      </c>
      <c r="O12">
        <f t="shared" si="1"/>
        <v>1351162</v>
      </c>
      <c r="P12">
        <f t="shared" si="1"/>
        <v>1245108</v>
      </c>
      <c r="Q12">
        <f t="shared" si="1"/>
        <v>1084242</v>
      </c>
      <c r="R12">
        <f t="shared" si="1"/>
        <v>1038065</v>
      </c>
      <c r="S12">
        <f t="shared" si="1"/>
        <v>1034132</v>
      </c>
      <c r="T12">
        <f t="shared" si="1"/>
        <v>1041679</v>
      </c>
      <c r="U12">
        <f t="shared" si="1"/>
        <v>1038731</v>
      </c>
      <c r="V12">
        <f t="shared" si="1"/>
        <v>905258</v>
      </c>
    </row>
    <row r="13" spans="1:82" x14ac:dyDescent="0.2">
      <c r="B13" s="3" t="s">
        <v>85</v>
      </c>
      <c r="C13">
        <f t="shared" si="2"/>
        <v>585364</v>
      </c>
      <c r="D13">
        <f t="shared" si="1"/>
        <v>636079</v>
      </c>
      <c r="E13">
        <f t="shared" si="1"/>
        <v>661165</v>
      </c>
      <c r="F13">
        <f t="shared" si="1"/>
        <v>578919</v>
      </c>
      <c r="G13">
        <f t="shared" si="1"/>
        <v>642525</v>
      </c>
      <c r="H13">
        <f t="shared" si="1"/>
        <v>617113</v>
      </c>
      <c r="I13">
        <f t="shared" si="1"/>
        <v>551052</v>
      </c>
      <c r="J13">
        <f t="shared" si="1"/>
        <v>591910</v>
      </c>
      <c r="K13">
        <f t="shared" si="1"/>
        <v>498168</v>
      </c>
      <c r="L13">
        <f t="shared" si="1"/>
        <v>426152</v>
      </c>
      <c r="M13">
        <f t="shared" si="1"/>
        <v>438076</v>
      </c>
      <c r="N13">
        <f t="shared" si="1"/>
        <v>378156</v>
      </c>
      <c r="O13">
        <f t="shared" si="1"/>
        <v>423737</v>
      </c>
      <c r="P13">
        <f t="shared" si="1"/>
        <v>426577</v>
      </c>
      <c r="Q13">
        <f t="shared" si="1"/>
        <v>379274</v>
      </c>
      <c r="R13">
        <f t="shared" si="1"/>
        <v>396831</v>
      </c>
      <c r="S13">
        <f t="shared" si="1"/>
        <v>387148</v>
      </c>
      <c r="T13">
        <f t="shared" si="1"/>
        <v>390020</v>
      </c>
      <c r="U13">
        <f t="shared" si="1"/>
        <v>405255</v>
      </c>
      <c r="V13">
        <f t="shared" si="1"/>
        <v>341497</v>
      </c>
    </row>
  </sheetData>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BYGV22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Felix Nelgy Skov Wohlert</cp:lastModifiedBy>
  <dcterms:created xsi:type="dcterms:W3CDTF">2026-03-25T09:35:17Z</dcterms:created>
  <dcterms:modified xsi:type="dcterms:W3CDTF">2026-03-28T09:45:14Z</dcterms:modified>
</cp:coreProperties>
</file>