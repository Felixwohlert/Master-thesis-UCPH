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Figures/Figur 2A/"/>
    </mc:Choice>
  </mc:AlternateContent>
  <xr:revisionPtr revIDLastSave="0" documentId="13_ncr:1_{C638C600-5E11-2F4D-83DF-9AB871E2773A}" xr6:coauthVersionLast="47" xr6:coauthVersionMax="47" xr10:uidLastSave="{00000000-0000-0000-0000-000000000000}"/>
  <bookViews>
    <workbookView xWindow="-4560" yWindow="-21100" windowWidth="38400" windowHeight="21100" xr2:uid="{00000000-000D-0000-FFFF-FFFF00000000}"/>
  </bookViews>
  <sheets>
    <sheet name="BYG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2" l="1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C94" i="2"/>
  <c r="C86" i="2"/>
  <c r="C93" i="2"/>
  <c r="C85" i="2"/>
  <c r="C92" i="2"/>
  <c r="C84" i="2"/>
  <c r="C91" i="2"/>
  <c r="C83" i="2"/>
  <c r="C90" i="2"/>
  <c r="C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</calcChain>
</file>

<file path=xl/sharedStrings.xml><?xml version="1.0" encoding="utf-8"?>
<sst xmlns="http://schemas.openxmlformats.org/spreadsheetml/2006/main" count="148" uniqueCount="58">
  <si>
    <t>Bygninger efter anvendelse, område og tid</t>
  </si>
  <si>
    <t>Enhed: Antal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</si>
  <si>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</si>
  <si>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</si>
  <si>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</si>
  <si>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</si>
  <si>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</si>
  <si>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</si>
  <si>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</si>
  <si>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</si>
  <si>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</si>
  <si>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</si>
  <si>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</si>
  <si>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</si>
  <si>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</si>
  <si>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</si>
  <si>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</si>
  <si>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Parcel- og stuehuse</t>
  </si>
  <si>
    <t>København</t>
  </si>
  <si>
    <t>Frederiksberg</t>
  </si>
  <si>
    <t>Københavns Amt</t>
  </si>
  <si>
    <t>Frederiksborg Amt</t>
  </si>
  <si>
    <t>Roskilde Amt</t>
  </si>
  <si>
    <t>Vestsjællands Amt</t>
  </si>
  <si>
    <t>Storstrøms Amt</t>
  </si>
  <si>
    <t>Bornholm (excl. Christiansø)</t>
  </si>
  <si>
    <t>Fyns Amt</t>
  </si>
  <si>
    <t>Sønderjyllands Amt</t>
  </si>
  <si>
    <t>Ribe Amt</t>
  </si>
  <si>
    <t>Vejle Amt</t>
  </si>
  <si>
    <t>Brædstrup</t>
  </si>
  <si>
    <t>Gedved</t>
  </si>
  <si>
    <t>Hedensted</t>
  </si>
  <si>
    <t>Horsens</t>
  </si>
  <si>
    <t>Juelsminde</t>
  </si>
  <si>
    <t>Nørre Snede</t>
  </si>
  <si>
    <t>Tørring-Uldum</t>
  </si>
  <si>
    <t>Ringkøbing Amt</t>
  </si>
  <si>
    <t>Århus Amt</t>
  </si>
  <si>
    <t>Viborg Amt</t>
  </si>
  <si>
    <t>Morsø</t>
  </si>
  <si>
    <t>Thisted</t>
  </si>
  <si>
    <t>Nordjyllands Amt</t>
  </si>
  <si>
    <t>Række-, kæde- og dobbelthuse</t>
  </si>
  <si>
    <t>Etageboliger</t>
  </si>
  <si>
    <t xml:space="preserve">Areal angiver bygningens samlede areal - dvs bygningens etageareal, tagetageareal og kælderareal </t>
  </si>
  <si>
    <t>Single family homes</t>
  </si>
  <si>
    <t>Capital Region</t>
  </si>
  <si>
    <t>Zealand Region</t>
  </si>
  <si>
    <t>Central Denmark</t>
  </si>
  <si>
    <t>Sourthern Denmark</t>
  </si>
  <si>
    <t>North Denmark</t>
  </si>
  <si>
    <t>Apartment-buildings</t>
  </si>
  <si>
    <t>(Nordjylland county + Morsø &amp; Thisted municipalities)</t>
  </si>
  <si>
    <t>(Fyn, Sønderjylland, Ribe &amp; Vejle counties - Brædstrup, Gedved, Hedensted, Horsens, Juelsminde, Nørre Snede and Tørring-Uldum municipalities)</t>
  </si>
  <si>
    <t>(Ringkøbing, Århus &amp; Viborg counties - Morsø &amp; Thisted municipalities + Brædstrup, Gedved, Hedensted, Horsens, Juelsminde, Nørre Snede and Tørring-Uldum municipalities)</t>
  </si>
  <si>
    <t>(Copenhagen &amp; Frederiksborg counties + Copenhagen, Frederiksberg &amp; Bornholm municipalities)</t>
  </si>
  <si>
    <t>(Roskilde, Storstrøm and Vestsjælland counties)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</si>
</sst>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topLeftCell="A72" workbookViewId="0">
      <selection activeCell="A93" sqref="A93"/>
    </sheetView>
  </sheetViews>
  <sheetFormatPr baseColWidth="10" defaultColWidth="8.83203125" defaultRowHeight="15" x14ac:dyDescent="0.2"/>
  <cols>
    <col min="1" max="1" width="50.1640625" customWidth="1"/>
    <col min="2" max="2" width="28" customWidth="1"/>
    <col min="3" max="17" width="9" customWidth="1"/>
  </cols>
  <sheetData>
    <row r="1" spans="1:17" ht="17" x14ac:dyDescent="0.2">
      <c r="A1" s="1" t="s">
        <v>0</v>
      </c>
    </row>
    <row r="2" spans="1:17" x14ac:dyDescent="0.2">
      <c r="A2" s="2" t="s">
        <v>1</v>
      </c>
    </row>
    <row r="3" spans="1:17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</row>
    <row r="4" spans="1:17" x14ac:dyDescent="0.2">
      <c r="A4" s="3" t="s">
        <v>17</v>
      </c>
      <c r="B4" s="3" t="s">
        <v>18</v>
      </c>
      <c r="C4" s="4">
        <v>14106</v>
      </c>
      <c r="D4" s="4">
        <v>14142</v>
      </c>
      <c r="E4" s="4">
        <v>14187</v>
      </c>
      <c r="F4" s="4">
        <v>14271</v>
      </c>
      <c r="G4" s="4">
        <v>14307</v>
      </c>
      <c r="H4" s="4">
        <v>14320</v>
      </c>
      <c r="I4" s="4">
        <v>14391</v>
      </c>
      <c r="J4" s="4">
        <v>14432</v>
      </c>
      <c r="K4" s="4">
        <v>14473</v>
      </c>
      <c r="L4" s="4">
        <v>14525</v>
      </c>
      <c r="M4" s="4">
        <v>14548</v>
      </c>
      <c r="N4" s="4">
        <v>14547</v>
      </c>
      <c r="O4" s="4">
        <v>14554</v>
      </c>
      <c r="P4" s="4">
        <v>14548</v>
      </c>
      <c r="Q4" s="4">
        <v>14705</v>
      </c>
    </row>
    <row r="5" spans="1:17" x14ac:dyDescent="0.2">
      <c r="B5" s="3" t="s">
        <v>19</v>
      </c>
      <c r="C5" s="4">
        <v>1029</v>
      </c>
      <c r="D5" s="4">
        <v>1036</v>
      </c>
      <c r="E5" s="4">
        <v>1036</v>
      </c>
      <c r="F5" s="4">
        <v>1028</v>
      </c>
      <c r="G5" s="4">
        <v>1021</v>
      </c>
      <c r="H5" s="4">
        <v>1028</v>
      </c>
      <c r="I5" s="4">
        <v>1022</v>
      </c>
      <c r="J5" s="4">
        <v>1028</v>
      </c>
      <c r="K5" s="4">
        <v>1025</v>
      </c>
      <c r="L5" s="4">
        <v>1020</v>
      </c>
      <c r="M5" s="4">
        <v>1016</v>
      </c>
      <c r="N5" s="4">
        <v>1007</v>
      </c>
      <c r="O5" s="4">
        <v>1006</v>
      </c>
      <c r="P5" s="4">
        <v>1003</v>
      </c>
      <c r="Q5" s="4">
        <v>1000</v>
      </c>
    </row>
    <row r="6" spans="1:17" x14ac:dyDescent="0.2">
      <c r="B6" s="3" t="s">
        <v>20</v>
      </c>
      <c r="C6" s="4">
        <v>81140</v>
      </c>
      <c r="D6" s="4">
        <v>81241</v>
      </c>
      <c r="E6" s="4">
        <v>81191</v>
      </c>
      <c r="F6" s="4">
        <v>81256</v>
      </c>
      <c r="G6" s="4">
        <v>81435</v>
      </c>
      <c r="H6" s="4">
        <v>81711</v>
      </c>
      <c r="I6" s="4">
        <v>81978</v>
      </c>
      <c r="J6" s="4">
        <v>82343</v>
      </c>
      <c r="K6" s="4">
        <v>82451</v>
      </c>
      <c r="L6" s="4">
        <v>82614</v>
      </c>
      <c r="M6" s="4">
        <v>82833</v>
      </c>
      <c r="N6" s="4">
        <v>83020</v>
      </c>
      <c r="O6" s="4">
        <v>83234</v>
      </c>
      <c r="P6" s="4">
        <v>83474</v>
      </c>
      <c r="Q6" s="4">
        <v>83571</v>
      </c>
    </row>
    <row r="7" spans="1:17" x14ac:dyDescent="0.2">
      <c r="B7" s="3" t="s">
        <v>21</v>
      </c>
      <c r="C7" s="4">
        <v>72546</v>
      </c>
      <c r="D7" s="4">
        <v>72754</v>
      </c>
      <c r="E7" s="4">
        <v>72859</v>
      </c>
      <c r="F7" s="4">
        <v>73009</v>
      </c>
      <c r="G7" s="4">
        <v>73476</v>
      </c>
      <c r="H7" s="4">
        <v>73758</v>
      </c>
      <c r="I7" s="4">
        <v>74259</v>
      </c>
      <c r="J7" s="4">
        <v>74787</v>
      </c>
      <c r="K7" s="4">
        <v>75255</v>
      </c>
      <c r="L7" s="4">
        <v>76690</v>
      </c>
      <c r="M7" s="4">
        <v>77260</v>
      </c>
      <c r="N7" s="4">
        <v>77609</v>
      </c>
      <c r="O7" s="4">
        <v>77049</v>
      </c>
      <c r="P7" s="4">
        <v>77308</v>
      </c>
      <c r="Q7" s="4">
        <v>77731</v>
      </c>
    </row>
    <row r="8" spans="1:17" x14ac:dyDescent="0.2">
      <c r="B8" s="3" t="s">
        <v>22</v>
      </c>
      <c r="C8" s="4">
        <v>49372</v>
      </c>
      <c r="D8" s="4">
        <v>49554</v>
      </c>
      <c r="E8" s="4">
        <v>49752</v>
      </c>
      <c r="F8" s="4">
        <v>49961</v>
      </c>
      <c r="G8" s="4">
        <v>50196</v>
      </c>
      <c r="H8" s="4">
        <v>50532</v>
      </c>
      <c r="I8" s="4">
        <v>50950</v>
      </c>
      <c r="J8" s="4">
        <v>51357</v>
      </c>
      <c r="K8" s="4">
        <v>51782</v>
      </c>
      <c r="L8" s="4">
        <v>52182</v>
      </c>
      <c r="M8" s="4">
        <v>52482</v>
      </c>
      <c r="N8" s="4">
        <v>53074</v>
      </c>
      <c r="O8" s="4">
        <v>53699</v>
      </c>
      <c r="P8" s="4">
        <v>53907</v>
      </c>
      <c r="Q8" s="4">
        <v>54128</v>
      </c>
    </row>
    <row r="9" spans="1:17" x14ac:dyDescent="0.2">
      <c r="B9" s="3" t="s">
        <v>23</v>
      </c>
      <c r="C9" s="4">
        <v>75889</v>
      </c>
      <c r="D9" s="4">
        <v>75945</v>
      </c>
      <c r="E9" s="4">
        <v>76083</v>
      </c>
      <c r="F9" s="4">
        <v>76199</v>
      </c>
      <c r="G9" s="4">
        <v>76360</v>
      </c>
      <c r="H9" s="4">
        <v>76519</v>
      </c>
      <c r="I9" s="4">
        <v>76749</v>
      </c>
      <c r="J9" s="4">
        <v>77098</v>
      </c>
      <c r="K9" s="4">
        <v>77658</v>
      </c>
      <c r="L9" s="4">
        <v>77997</v>
      </c>
      <c r="M9" s="4">
        <v>78387</v>
      </c>
      <c r="N9" s="4">
        <v>78715</v>
      </c>
      <c r="O9" s="4">
        <v>79114</v>
      </c>
      <c r="P9" s="4">
        <v>79721</v>
      </c>
      <c r="Q9" s="4">
        <v>80245</v>
      </c>
    </row>
    <row r="10" spans="1:17" x14ac:dyDescent="0.2">
      <c r="B10" s="3" t="s">
        <v>24</v>
      </c>
      <c r="C10" s="4">
        <v>76985</v>
      </c>
      <c r="D10" s="4">
        <v>77077</v>
      </c>
      <c r="E10" s="4">
        <v>77051</v>
      </c>
      <c r="F10" s="4">
        <v>77040</v>
      </c>
      <c r="G10" s="4">
        <v>77202</v>
      </c>
      <c r="H10" s="4">
        <v>77204</v>
      </c>
      <c r="I10" s="4">
        <v>77287</v>
      </c>
      <c r="J10" s="4">
        <v>77461</v>
      </c>
      <c r="K10" s="4">
        <v>77636</v>
      </c>
      <c r="L10" s="4">
        <v>77828</v>
      </c>
      <c r="M10" s="4">
        <v>78011</v>
      </c>
      <c r="N10" s="4">
        <v>78121</v>
      </c>
      <c r="O10" s="4">
        <v>78360</v>
      </c>
      <c r="P10" s="4">
        <v>78793</v>
      </c>
      <c r="Q10" s="4">
        <v>79053</v>
      </c>
    </row>
    <row r="11" spans="1:17" x14ac:dyDescent="0.2">
      <c r="B11" s="3" t="s">
        <v>25</v>
      </c>
      <c r="C11" s="4">
        <v>13571</v>
      </c>
      <c r="D11" s="4">
        <v>13556</v>
      </c>
      <c r="E11" s="4">
        <v>13541</v>
      </c>
      <c r="F11" s="4">
        <v>13504</v>
      </c>
      <c r="G11" s="4">
        <v>13490</v>
      </c>
      <c r="H11" s="4">
        <v>13490</v>
      </c>
      <c r="I11" s="4">
        <v>13487</v>
      </c>
      <c r="J11" s="4">
        <v>13493</v>
      </c>
      <c r="K11" s="4">
        <v>13493</v>
      </c>
      <c r="L11" s="4">
        <v>13500</v>
      </c>
      <c r="M11" s="4">
        <v>13507</v>
      </c>
      <c r="N11" s="4">
        <v>13517</v>
      </c>
      <c r="O11" s="4">
        <v>13535</v>
      </c>
      <c r="P11" s="4">
        <v>13540</v>
      </c>
      <c r="Q11" s="4">
        <v>13504</v>
      </c>
    </row>
    <row r="12" spans="1:17" x14ac:dyDescent="0.2">
      <c r="B12" s="3" t="s">
        <v>26</v>
      </c>
      <c r="C12" s="4">
        <v>116451</v>
      </c>
      <c r="D12" s="4">
        <v>116654</v>
      </c>
      <c r="E12" s="4">
        <v>116659</v>
      </c>
      <c r="F12" s="4">
        <v>116788</v>
      </c>
      <c r="G12" s="4">
        <v>117050</v>
      </c>
      <c r="H12" s="4">
        <v>117403</v>
      </c>
      <c r="I12" s="4">
        <v>117943</v>
      </c>
      <c r="J12" s="4">
        <v>118611</v>
      </c>
      <c r="K12" s="4">
        <v>119194</v>
      </c>
      <c r="L12" s="4">
        <v>119545</v>
      </c>
      <c r="M12" s="4">
        <v>119874</v>
      </c>
      <c r="N12" s="4">
        <v>120161</v>
      </c>
      <c r="O12" s="4">
        <v>120249</v>
      </c>
      <c r="P12" s="4">
        <v>120691</v>
      </c>
      <c r="Q12" s="4">
        <v>121124</v>
      </c>
    </row>
    <row r="13" spans="1:17" x14ac:dyDescent="0.2">
      <c r="B13" s="3" t="s">
        <v>27</v>
      </c>
      <c r="C13" s="4">
        <v>68629</v>
      </c>
      <c r="D13" s="4">
        <v>68783</v>
      </c>
      <c r="E13" s="4">
        <v>68897</v>
      </c>
      <c r="F13" s="4">
        <v>69005</v>
      </c>
      <c r="G13" s="4">
        <v>69163</v>
      </c>
      <c r="H13" s="4">
        <v>69410</v>
      </c>
      <c r="I13" s="4">
        <v>69748</v>
      </c>
      <c r="J13" s="4">
        <v>70144</v>
      </c>
      <c r="K13" s="4">
        <v>70488</v>
      </c>
      <c r="L13" s="4">
        <v>70731</v>
      </c>
      <c r="M13" s="4">
        <v>70975</v>
      </c>
      <c r="N13" s="4">
        <v>71141</v>
      </c>
      <c r="O13" s="4">
        <v>71391</v>
      </c>
      <c r="P13" s="4">
        <v>71641</v>
      </c>
      <c r="Q13" s="4">
        <v>71979</v>
      </c>
    </row>
    <row r="14" spans="1:17" x14ac:dyDescent="0.2">
      <c r="B14" s="3" t="s">
        <v>28</v>
      </c>
      <c r="C14" s="4">
        <v>57060</v>
      </c>
      <c r="D14" s="4">
        <v>57190</v>
      </c>
      <c r="E14" s="4">
        <v>57324</v>
      </c>
      <c r="F14" s="4">
        <v>57644</v>
      </c>
      <c r="G14" s="4">
        <v>57884</v>
      </c>
      <c r="H14" s="4">
        <v>58132</v>
      </c>
      <c r="I14" s="4">
        <v>58781</v>
      </c>
      <c r="J14" s="4">
        <v>59883</v>
      </c>
      <c r="K14" s="4">
        <v>60238</v>
      </c>
      <c r="L14" s="4">
        <v>60428</v>
      </c>
      <c r="M14" s="4">
        <v>60613</v>
      </c>
      <c r="N14" s="4">
        <v>60652</v>
      </c>
      <c r="O14" s="4">
        <v>60868</v>
      </c>
      <c r="P14" s="4">
        <v>61143</v>
      </c>
      <c r="Q14" s="4">
        <v>61350</v>
      </c>
    </row>
    <row r="15" spans="1:17" x14ac:dyDescent="0.2">
      <c r="B15" s="3" t="s">
        <v>29</v>
      </c>
      <c r="C15" s="4">
        <v>84847</v>
      </c>
      <c r="D15" s="4">
        <v>85032</v>
      </c>
      <c r="E15" s="4">
        <v>85249</v>
      </c>
      <c r="F15" s="4">
        <v>85565</v>
      </c>
      <c r="G15" s="4">
        <v>85853</v>
      </c>
      <c r="H15" s="4">
        <v>86456</v>
      </c>
      <c r="I15" s="4">
        <v>87179</v>
      </c>
      <c r="J15" s="4">
        <v>88057</v>
      </c>
      <c r="K15" s="4">
        <v>88850</v>
      </c>
      <c r="L15" s="4">
        <v>89376</v>
      </c>
      <c r="M15" s="4">
        <v>89845</v>
      </c>
      <c r="N15" s="4">
        <v>90170</v>
      </c>
      <c r="O15" s="4">
        <v>90671</v>
      </c>
      <c r="P15" s="4">
        <v>91361</v>
      </c>
      <c r="Q15" s="4">
        <v>92073</v>
      </c>
    </row>
    <row r="16" spans="1:17" x14ac:dyDescent="0.2">
      <c r="B16" s="7" t="s">
        <v>30</v>
      </c>
      <c r="C16" s="4">
        <v>2788</v>
      </c>
      <c r="D16" s="4">
        <v>2794</v>
      </c>
      <c r="E16" s="4">
        <v>2796</v>
      </c>
      <c r="F16" s="4">
        <v>2800</v>
      </c>
      <c r="G16" s="4">
        <v>2800</v>
      </c>
      <c r="H16" s="4">
        <v>2813</v>
      </c>
      <c r="I16" s="4">
        <v>2833</v>
      </c>
      <c r="J16" s="4">
        <v>2851</v>
      </c>
      <c r="K16" s="4">
        <v>2875</v>
      </c>
      <c r="L16" s="4">
        <v>2892</v>
      </c>
      <c r="M16" s="4">
        <v>2899</v>
      </c>
      <c r="N16" s="4">
        <v>2902</v>
      </c>
      <c r="O16" s="4">
        <v>2919</v>
      </c>
      <c r="P16" s="4">
        <v>2943</v>
      </c>
      <c r="Q16" s="4">
        <v>2952</v>
      </c>
    </row>
    <row r="17" spans="1:17" x14ac:dyDescent="0.2">
      <c r="B17" s="7" t="s">
        <v>31</v>
      </c>
      <c r="C17" s="4">
        <v>3193</v>
      </c>
      <c r="D17" s="4">
        <v>3197</v>
      </c>
      <c r="E17" s="4">
        <v>3212</v>
      </c>
      <c r="F17" s="4">
        <v>3219</v>
      </c>
      <c r="G17" s="4">
        <v>3223</v>
      </c>
      <c r="H17" s="4">
        <v>3239</v>
      </c>
      <c r="I17" s="4">
        <v>3261</v>
      </c>
      <c r="J17" s="4">
        <v>3302</v>
      </c>
      <c r="K17" s="4">
        <v>3323</v>
      </c>
      <c r="L17" s="4">
        <v>3346</v>
      </c>
      <c r="M17" s="4">
        <v>3366</v>
      </c>
      <c r="N17" s="4">
        <v>3377</v>
      </c>
      <c r="O17" s="4">
        <v>3388</v>
      </c>
      <c r="P17" s="4">
        <v>3427</v>
      </c>
      <c r="Q17" s="4">
        <v>3459</v>
      </c>
    </row>
    <row r="18" spans="1:17" x14ac:dyDescent="0.2">
      <c r="B18" s="7" t="s">
        <v>32</v>
      </c>
      <c r="C18" s="4">
        <v>4622</v>
      </c>
      <c r="D18" s="4">
        <v>4664</v>
      </c>
      <c r="E18" s="4">
        <v>4688</v>
      </c>
      <c r="F18" s="4">
        <v>4707</v>
      </c>
      <c r="G18" s="4">
        <v>4737</v>
      </c>
      <c r="H18" s="4">
        <v>4808</v>
      </c>
      <c r="I18" s="4">
        <v>4913</v>
      </c>
      <c r="J18" s="4">
        <v>4998</v>
      </c>
      <c r="K18" s="4">
        <v>5061</v>
      </c>
      <c r="L18" s="4">
        <v>5111</v>
      </c>
      <c r="M18" s="4">
        <v>5132</v>
      </c>
      <c r="N18" s="4">
        <v>5160</v>
      </c>
      <c r="O18" s="4">
        <v>5195</v>
      </c>
      <c r="P18" s="4">
        <v>5262</v>
      </c>
      <c r="Q18" s="4">
        <v>5328</v>
      </c>
    </row>
    <row r="19" spans="1:17" x14ac:dyDescent="0.2">
      <c r="B19" s="7" t="s">
        <v>33</v>
      </c>
      <c r="C19" s="4">
        <v>12085</v>
      </c>
      <c r="D19" s="4">
        <v>12118</v>
      </c>
      <c r="E19" s="4">
        <v>12126</v>
      </c>
      <c r="F19" s="4">
        <v>12148</v>
      </c>
      <c r="G19" s="4">
        <v>12160</v>
      </c>
      <c r="H19" s="4">
        <v>12235</v>
      </c>
      <c r="I19" s="4">
        <v>12319</v>
      </c>
      <c r="J19" s="4">
        <v>12410</v>
      </c>
      <c r="K19" s="4">
        <v>12538</v>
      </c>
      <c r="L19" s="4">
        <v>12593</v>
      </c>
      <c r="M19" s="4">
        <v>12680</v>
      </c>
      <c r="N19" s="4">
        <v>12733</v>
      </c>
      <c r="O19" s="4">
        <v>12809</v>
      </c>
      <c r="P19" s="4">
        <v>12985</v>
      </c>
      <c r="Q19" s="4">
        <v>13167</v>
      </c>
    </row>
    <row r="20" spans="1:17" x14ac:dyDescent="0.2">
      <c r="B20" s="7" t="s">
        <v>34</v>
      </c>
      <c r="C20" s="4">
        <v>5252</v>
      </c>
      <c r="D20" s="4">
        <v>5265</v>
      </c>
      <c r="E20" s="4">
        <v>5291</v>
      </c>
      <c r="F20" s="4">
        <v>5313</v>
      </c>
      <c r="G20" s="4">
        <v>5318</v>
      </c>
      <c r="H20" s="4">
        <v>5363</v>
      </c>
      <c r="I20" s="4">
        <v>5413</v>
      </c>
      <c r="J20" s="4">
        <v>5463</v>
      </c>
      <c r="K20" s="4">
        <v>5505</v>
      </c>
      <c r="L20" s="4">
        <v>5537</v>
      </c>
      <c r="M20" s="4">
        <v>5546</v>
      </c>
      <c r="N20" s="4">
        <v>5565</v>
      </c>
      <c r="O20" s="4">
        <v>5630</v>
      </c>
      <c r="P20" s="4">
        <v>5653</v>
      </c>
      <c r="Q20" s="4">
        <v>5686</v>
      </c>
    </row>
    <row r="21" spans="1:17" x14ac:dyDescent="0.2">
      <c r="B21" s="7" t="s">
        <v>35</v>
      </c>
      <c r="C21" s="4">
        <v>2467</v>
      </c>
      <c r="D21" s="4">
        <v>2468</v>
      </c>
      <c r="E21" s="4">
        <v>2468</v>
      </c>
      <c r="F21" s="4">
        <v>2468</v>
      </c>
      <c r="G21" s="4">
        <v>2470</v>
      </c>
      <c r="H21" s="4">
        <v>2481</v>
      </c>
      <c r="I21" s="4">
        <v>2488</v>
      </c>
      <c r="J21" s="4">
        <v>2493</v>
      </c>
      <c r="K21" s="4">
        <v>2502</v>
      </c>
      <c r="L21" s="4">
        <v>2506</v>
      </c>
      <c r="M21" s="4">
        <v>2511</v>
      </c>
      <c r="N21" s="4">
        <v>2516</v>
      </c>
      <c r="O21" s="4">
        <v>2524</v>
      </c>
      <c r="P21" s="4">
        <v>2530</v>
      </c>
      <c r="Q21" s="4">
        <v>2535</v>
      </c>
    </row>
    <row r="22" spans="1:17" x14ac:dyDescent="0.2">
      <c r="B22" s="7" t="s">
        <v>36</v>
      </c>
      <c r="C22" s="4">
        <v>4017</v>
      </c>
      <c r="D22" s="4">
        <v>4024</v>
      </c>
      <c r="E22" s="4">
        <v>4029</v>
      </c>
      <c r="F22" s="4">
        <v>4048</v>
      </c>
      <c r="G22" s="4">
        <v>4057</v>
      </c>
      <c r="H22" s="4">
        <v>4084</v>
      </c>
      <c r="I22" s="4">
        <v>4113</v>
      </c>
      <c r="J22" s="4">
        <v>4175</v>
      </c>
      <c r="K22" s="4">
        <v>4207</v>
      </c>
      <c r="L22" s="4">
        <v>4206</v>
      </c>
      <c r="M22" s="4">
        <v>4226</v>
      </c>
      <c r="N22" s="4">
        <v>4241</v>
      </c>
      <c r="O22" s="4">
        <v>4245</v>
      </c>
      <c r="P22" s="4">
        <v>4262</v>
      </c>
      <c r="Q22" s="4">
        <v>4294</v>
      </c>
    </row>
    <row r="23" spans="1:17" x14ac:dyDescent="0.2">
      <c r="B23" s="3" t="s">
        <v>37</v>
      </c>
      <c r="C23" s="4">
        <v>74197</v>
      </c>
      <c r="D23" s="4">
        <v>74214</v>
      </c>
      <c r="E23" s="4">
        <v>74312</v>
      </c>
      <c r="F23" s="4">
        <v>74524</v>
      </c>
      <c r="G23" s="4">
        <v>74734</v>
      </c>
      <c r="H23" s="4">
        <v>75031</v>
      </c>
      <c r="I23" s="4">
        <v>75509</v>
      </c>
      <c r="J23" s="4">
        <v>76042</v>
      </c>
      <c r="K23" s="4">
        <v>76496</v>
      </c>
      <c r="L23" s="4">
        <v>76801</v>
      </c>
      <c r="M23" s="4">
        <v>77054</v>
      </c>
      <c r="N23" s="4">
        <v>77345</v>
      </c>
      <c r="O23" s="4">
        <v>77570</v>
      </c>
      <c r="P23" s="4">
        <v>77934</v>
      </c>
      <c r="Q23" s="4">
        <v>78250</v>
      </c>
    </row>
    <row r="24" spans="1:17" x14ac:dyDescent="0.2">
      <c r="B24" s="3" t="s">
        <v>38</v>
      </c>
      <c r="C24" s="4">
        <v>126352</v>
      </c>
      <c r="D24" s="4">
        <v>126650</v>
      </c>
      <c r="E24" s="4">
        <v>126836</v>
      </c>
      <c r="F24" s="4">
        <v>127138</v>
      </c>
      <c r="G24" s="4">
        <v>127646</v>
      </c>
      <c r="H24" s="4">
        <v>128340</v>
      </c>
      <c r="I24" s="4">
        <v>129538</v>
      </c>
      <c r="J24" s="4">
        <v>130774</v>
      </c>
      <c r="K24" s="4">
        <v>131886</v>
      </c>
      <c r="L24" s="4">
        <v>132844</v>
      </c>
      <c r="M24" s="4">
        <v>133732</v>
      </c>
      <c r="N24" s="4">
        <v>134397</v>
      </c>
      <c r="O24" s="4">
        <v>135132</v>
      </c>
      <c r="P24" s="4">
        <v>136203</v>
      </c>
      <c r="Q24" s="4">
        <v>137214</v>
      </c>
    </row>
    <row r="25" spans="1:17" x14ac:dyDescent="0.2">
      <c r="B25" s="3" t="s">
        <v>39</v>
      </c>
      <c r="C25" s="4">
        <v>71540</v>
      </c>
      <c r="D25" s="4">
        <v>71612</v>
      </c>
      <c r="E25" s="4">
        <v>71702</v>
      </c>
      <c r="F25" s="4">
        <v>71795</v>
      </c>
      <c r="G25" s="4">
        <v>71911</v>
      </c>
      <c r="H25" s="4">
        <v>72108</v>
      </c>
      <c r="I25" s="4">
        <v>72436</v>
      </c>
      <c r="J25" s="4">
        <v>72841</v>
      </c>
      <c r="K25" s="4">
        <v>73111</v>
      </c>
      <c r="L25" s="4">
        <v>73330</v>
      </c>
      <c r="M25" s="4">
        <v>73543</v>
      </c>
      <c r="N25" s="4">
        <v>73746</v>
      </c>
      <c r="O25" s="4">
        <v>73947</v>
      </c>
      <c r="P25" s="4">
        <v>74251</v>
      </c>
      <c r="Q25" s="4">
        <v>74458</v>
      </c>
    </row>
    <row r="26" spans="1:17" x14ac:dyDescent="0.2">
      <c r="B26" s="6" t="s">
        <v>40</v>
      </c>
      <c r="C26" s="4">
        <v>7852</v>
      </c>
      <c r="D26" s="4">
        <v>7866</v>
      </c>
      <c r="E26" s="4">
        <v>7880</v>
      </c>
      <c r="F26" s="4">
        <v>7873</v>
      </c>
      <c r="G26" s="4">
        <v>7868</v>
      </c>
      <c r="H26" s="4">
        <v>7883</v>
      </c>
      <c r="I26" s="4">
        <v>7888</v>
      </c>
      <c r="J26" s="4">
        <v>7924</v>
      </c>
      <c r="K26" s="4">
        <v>7924</v>
      </c>
      <c r="L26" s="4">
        <v>7924</v>
      </c>
      <c r="M26" s="4">
        <v>7926</v>
      </c>
      <c r="N26" s="4">
        <v>7920</v>
      </c>
      <c r="O26" s="4">
        <v>7930</v>
      </c>
      <c r="P26" s="4">
        <v>7928</v>
      </c>
      <c r="Q26" s="4">
        <v>7919</v>
      </c>
    </row>
    <row r="27" spans="1:17" x14ac:dyDescent="0.2">
      <c r="B27" s="6" t="s">
        <v>41</v>
      </c>
      <c r="C27" s="4">
        <v>9040</v>
      </c>
      <c r="D27" s="4">
        <v>9059</v>
      </c>
      <c r="E27" s="4">
        <v>9062</v>
      </c>
      <c r="F27" s="4">
        <v>9076</v>
      </c>
      <c r="G27" s="4">
        <v>9097</v>
      </c>
      <c r="H27" s="4">
        <v>9128</v>
      </c>
      <c r="I27" s="4">
        <v>9178</v>
      </c>
      <c r="J27" s="4">
        <v>9212</v>
      </c>
      <c r="K27" s="4">
        <v>9258</v>
      </c>
      <c r="L27" s="4">
        <v>9288</v>
      </c>
      <c r="M27" s="4">
        <v>9296</v>
      </c>
      <c r="N27" s="4">
        <v>9309</v>
      </c>
      <c r="O27" s="4">
        <v>9327</v>
      </c>
      <c r="P27" s="4">
        <v>9336</v>
      </c>
      <c r="Q27" s="4">
        <v>9365</v>
      </c>
    </row>
    <row r="28" spans="1:17" x14ac:dyDescent="0.2">
      <c r="B28" s="3" t="s">
        <v>42</v>
      </c>
      <c r="C28" s="4">
        <v>130479</v>
      </c>
      <c r="D28" s="4">
        <v>130525</v>
      </c>
      <c r="E28" s="4">
        <v>130630</v>
      </c>
      <c r="F28" s="4">
        <v>130745</v>
      </c>
      <c r="G28" s="4">
        <v>130910</v>
      </c>
      <c r="H28" s="4">
        <v>131193</v>
      </c>
      <c r="I28" s="4">
        <v>131611</v>
      </c>
      <c r="J28" s="4">
        <v>132266</v>
      </c>
      <c r="K28" s="4">
        <v>132833</v>
      </c>
      <c r="L28" s="4">
        <v>133350</v>
      </c>
      <c r="M28" s="4">
        <v>133789</v>
      </c>
      <c r="N28" s="4">
        <v>134065</v>
      </c>
      <c r="O28" s="4">
        <v>134573</v>
      </c>
      <c r="P28" s="4">
        <v>135137</v>
      </c>
      <c r="Q28" s="4">
        <v>135439</v>
      </c>
    </row>
    <row r="29" spans="1:17" x14ac:dyDescent="0.2">
      <c r="A29" s="3" t="s">
        <v>43</v>
      </c>
      <c r="B29" s="3" t="s">
        <v>18</v>
      </c>
      <c r="C29" s="4">
        <v>3831</v>
      </c>
      <c r="D29" s="4">
        <v>3869</v>
      </c>
      <c r="E29" s="4">
        <v>3898</v>
      </c>
      <c r="F29" s="4">
        <v>3946</v>
      </c>
      <c r="G29" s="4">
        <v>4085</v>
      </c>
      <c r="H29" s="4">
        <v>4159</v>
      </c>
      <c r="I29" s="4">
        <v>4213</v>
      </c>
      <c r="J29" s="4">
        <v>4261</v>
      </c>
      <c r="K29" s="4">
        <v>4307</v>
      </c>
      <c r="L29" s="4">
        <v>4358</v>
      </c>
      <c r="M29" s="4">
        <v>4394</v>
      </c>
      <c r="N29" s="4">
        <v>4419</v>
      </c>
      <c r="O29" s="4">
        <v>4472</v>
      </c>
      <c r="P29" s="4">
        <v>4475</v>
      </c>
      <c r="Q29" s="4">
        <v>4523</v>
      </c>
    </row>
    <row r="30" spans="1:17" x14ac:dyDescent="0.2">
      <c r="B30" s="3" t="s">
        <v>19</v>
      </c>
      <c r="C30" s="4">
        <v>519</v>
      </c>
      <c r="D30" s="4">
        <v>523</v>
      </c>
      <c r="E30" s="4">
        <v>528</v>
      </c>
      <c r="F30" s="4">
        <v>529</v>
      </c>
      <c r="G30" s="4">
        <v>531</v>
      </c>
      <c r="H30" s="4">
        <v>530</v>
      </c>
      <c r="I30" s="4">
        <v>530</v>
      </c>
      <c r="J30" s="4">
        <v>530</v>
      </c>
      <c r="K30" s="4">
        <v>530</v>
      </c>
      <c r="L30" s="4">
        <v>529</v>
      </c>
      <c r="M30" s="4">
        <v>529</v>
      </c>
      <c r="N30" s="4">
        <v>529</v>
      </c>
      <c r="O30" s="4">
        <v>531</v>
      </c>
      <c r="P30" s="4">
        <v>531</v>
      </c>
      <c r="Q30" s="4">
        <v>500</v>
      </c>
    </row>
    <row r="31" spans="1:17" x14ac:dyDescent="0.2">
      <c r="B31" s="3" t="s">
        <v>20</v>
      </c>
      <c r="C31" s="4">
        <v>33459</v>
      </c>
      <c r="D31" s="4">
        <v>33502</v>
      </c>
      <c r="E31" s="4">
        <v>33574</v>
      </c>
      <c r="F31" s="4">
        <v>33818</v>
      </c>
      <c r="G31" s="4">
        <v>34096</v>
      </c>
      <c r="H31" s="4">
        <v>34246</v>
      </c>
      <c r="I31" s="4">
        <v>34296</v>
      </c>
      <c r="J31" s="4">
        <v>34388</v>
      </c>
      <c r="K31" s="4">
        <v>34548</v>
      </c>
      <c r="L31" s="4">
        <v>34711</v>
      </c>
      <c r="M31" s="4">
        <v>34790</v>
      </c>
      <c r="N31" s="4">
        <v>34910</v>
      </c>
      <c r="O31" s="4">
        <v>35145</v>
      </c>
      <c r="P31" s="4">
        <v>35399</v>
      </c>
      <c r="Q31" s="4">
        <v>35624</v>
      </c>
    </row>
    <row r="32" spans="1:17" x14ac:dyDescent="0.2">
      <c r="B32" s="3" t="s">
        <v>21</v>
      </c>
      <c r="C32" s="4">
        <v>16183</v>
      </c>
      <c r="D32" s="4">
        <v>16440</v>
      </c>
      <c r="E32" s="4">
        <v>16643</v>
      </c>
      <c r="F32" s="4">
        <v>16770</v>
      </c>
      <c r="G32" s="4">
        <v>16834</v>
      </c>
      <c r="H32" s="4">
        <v>16997</v>
      </c>
      <c r="I32" s="4">
        <v>17115</v>
      </c>
      <c r="J32" s="4">
        <v>17250</v>
      </c>
      <c r="K32" s="4">
        <v>17581</v>
      </c>
      <c r="L32" s="4">
        <v>17997</v>
      </c>
      <c r="M32" s="4">
        <v>18293</v>
      </c>
      <c r="N32" s="4">
        <v>18556</v>
      </c>
      <c r="O32" s="4">
        <v>18881</v>
      </c>
      <c r="P32" s="4">
        <v>19342</v>
      </c>
      <c r="Q32" s="4">
        <v>19774</v>
      </c>
    </row>
    <row r="33" spans="2:17" x14ac:dyDescent="0.2">
      <c r="B33" s="3" t="s">
        <v>22</v>
      </c>
      <c r="C33" s="4">
        <v>8432</v>
      </c>
      <c r="D33" s="4">
        <v>8574</v>
      </c>
      <c r="E33" s="4">
        <v>8734</v>
      </c>
      <c r="F33" s="4">
        <v>8820</v>
      </c>
      <c r="G33" s="4">
        <v>8892</v>
      </c>
      <c r="H33" s="4">
        <v>8902</v>
      </c>
      <c r="I33" s="4">
        <v>8950</v>
      </c>
      <c r="J33" s="4">
        <v>9052</v>
      </c>
      <c r="K33" s="4">
        <v>9183</v>
      </c>
      <c r="L33" s="4">
        <v>9426</v>
      </c>
      <c r="M33" s="4">
        <v>9698</v>
      </c>
      <c r="N33" s="4">
        <v>9861</v>
      </c>
      <c r="O33" s="4">
        <v>9956</v>
      </c>
      <c r="P33" s="4">
        <v>10106</v>
      </c>
      <c r="Q33" s="4">
        <v>10314</v>
      </c>
    </row>
    <row r="34" spans="2:17" x14ac:dyDescent="0.2">
      <c r="B34" s="3" t="s">
        <v>23</v>
      </c>
      <c r="C34" s="4">
        <v>8258</v>
      </c>
      <c r="D34" s="4">
        <v>8486</v>
      </c>
      <c r="E34" s="4">
        <v>8652</v>
      </c>
      <c r="F34" s="4">
        <v>8779</v>
      </c>
      <c r="G34" s="4">
        <v>8867</v>
      </c>
      <c r="H34" s="4">
        <v>8917</v>
      </c>
      <c r="I34" s="4">
        <v>8983</v>
      </c>
      <c r="J34" s="4">
        <v>9068</v>
      </c>
      <c r="K34" s="4">
        <v>9216</v>
      </c>
      <c r="L34" s="4">
        <v>9323</v>
      </c>
      <c r="M34" s="4">
        <v>9534</v>
      </c>
      <c r="N34" s="4">
        <v>9688</v>
      </c>
      <c r="O34" s="4">
        <v>10002</v>
      </c>
      <c r="P34" s="4">
        <v>10459</v>
      </c>
      <c r="Q34" s="4">
        <v>10806</v>
      </c>
    </row>
    <row r="35" spans="2:17" x14ac:dyDescent="0.2">
      <c r="B35" s="3" t="s">
        <v>24</v>
      </c>
      <c r="C35" s="4">
        <v>8177</v>
      </c>
      <c r="D35" s="4">
        <v>8367</v>
      </c>
      <c r="E35" s="4">
        <v>8446</v>
      </c>
      <c r="F35" s="4">
        <v>8509</v>
      </c>
      <c r="G35" s="4">
        <v>8602</v>
      </c>
      <c r="H35" s="4">
        <v>8614</v>
      </c>
      <c r="I35" s="4">
        <v>8654</v>
      </c>
      <c r="J35" s="4">
        <v>8735</v>
      </c>
      <c r="K35" s="4">
        <v>8804</v>
      </c>
      <c r="L35" s="4">
        <v>8870</v>
      </c>
      <c r="M35" s="4">
        <v>8957</v>
      </c>
      <c r="N35" s="4">
        <v>9073</v>
      </c>
      <c r="O35" s="4">
        <v>9313</v>
      </c>
      <c r="P35" s="4">
        <v>9641</v>
      </c>
      <c r="Q35" s="4">
        <v>9878</v>
      </c>
    </row>
    <row r="36" spans="2:17" x14ac:dyDescent="0.2">
      <c r="B36" s="3" t="s">
        <v>25</v>
      </c>
      <c r="C36" s="4">
        <v>4382</v>
      </c>
      <c r="D36" s="4">
        <v>4394</v>
      </c>
      <c r="E36" s="4">
        <v>4397</v>
      </c>
      <c r="F36" s="4">
        <v>4417</v>
      </c>
      <c r="G36" s="4">
        <v>4415</v>
      </c>
      <c r="H36" s="4">
        <v>4415</v>
      </c>
      <c r="I36" s="4">
        <v>4419</v>
      </c>
      <c r="J36" s="4">
        <v>4428</v>
      </c>
      <c r="K36" s="4">
        <v>4433</v>
      </c>
      <c r="L36" s="4">
        <v>4447</v>
      </c>
      <c r="M36" s="4">
        <v>4442</v>
      </c>
      <c r="N36" s="4">
        <v>4449</v>
      </c>
      <c r="O36" s="4">
        <v>4459</v>
      </c>
      <c r="P36" s="4">
        <v>4476</v>
      </c>
      <c r="Q36" s="4">
        <v>4487</v>
      </c>
    </row>
    <row r="37" spans="2:17" x14ac:dyDescent="0.2">
      <c r="B37" s="3" t="s">
        <v>26</v>
      </c>
      <c r="C37" s="4">
        <v>23183</v>
      </c>
      <c r="D37" s="4">
        <v>23533</v>
      </c>
      <c r="E37" s="4">
        <v>23745</v>
      </c>
      <c r="F37" s="4">
        <v>23950</v>
      </c>
      <c r="G37" s="4">
        <v>24086</v>
      </c>
      <c r="H37" s="4">
        <v>24290</v>
      </c>
      <c r="I37" s="4">
        <v>24578</v>
      </c>
      <c r="J37" s="4">
        <v>24791</v>
      </c>
      <c r="K37" s="4">
        <v>25108</v>
      </c>
      <c r="L37" s="4">
        <v>25347</v>
      </c>
      <c r="M37" s="4">
        <v>25642</v>
      </c>
      <c r="N37" s="4">
        <v>26028</v>
      </c>
      <c r="O37" s="4">
        <v>26491</v>
      </c>
      <c r="P37" s="4">
        <v>27095</v>
      </c>
      <c r="Q37" s="4">
        <v>27453</v>
      </c>
    </row>
    <row r="38" spans="2:17" x14ac:dyDescent="0.2">
      <c r="B38" s="3" t="s">
        <v>27</v>
      </c>
      <c r="C38" s="4">
        <v>8059</v>
      </c>
      <c r="D38" s="4">
        <v>8238</v>
      </c>
      <c r="E38" s="4">
        <v>8358</v>
      </c>
      <c r="F38" s="4">
        <v>8425</v>
      </c>
      <c r="G38" s="4">
        <v>8494</v>
      </c>
      <c r="H38" s="4">
        <v>8528</v>
      </c>
      <c r="I38" s="4">
        <v>8627</v>
      </c>
      <c r="J38" s="4">
        <v>8729</v>
      </c>
      <c r="K38" s="4">
        <v>8844</v>
      </c>
      <c r="L38" s="4">
        <v>8951</v>
      </c>
      <c r="M38" s="4">
        <v>9121</v>
      </c>
      <c r="N38" s="4">
        <v>9237</v>
      </c>
      <c r="O38" s="4">
        <v>9518</v>
      </c>
      <c r="P38" s="4">
        <v>9676</v>
      </c>
      <c r="Q38" s="4">
        <v>9793</v>
      </c>
    </row>
    <row r="39" spans="2:17" x14ac:dyDescent="0.2">
      <c r="B39" s="3" t="s">
        <v>28</v>
      </c>
      <c r="C39" s="4">
        <v>7129</v>
      </c>
      <c r="D39" s="4">
        <v>7290</v>
      </c>
      <c r="E39" s="4">
        <v>7367</v>
      </c>
      <c r="F39" s="4">
        <v>7448</v>
      </c>
      <c r="G39" s="4">
        <v>7504</v>
      </c>
      <c r="H39" s="4">
        <v>7529</v>
      </c>
      <c r="I39" s="4">
        <v>7156</v>
      </c>
      <c r="J39" s="4">
        <v>6479</v>
      </c>
      <c r="K39" s="4">
        <v>6508</v>
      </c>
      <c r="L39" s="4">
        <v>6600</v>
      </c>
      <c r="M39" s="4">
        <v>6692</v>
      </c>
      <c r="N39" s="4">
        <v>6816</v>
      </c>
      <c r="O39" s="4">
        <v>6919</v>
      </c>
      <c r="P39" s="4">
        <v>7074</v>
      </c>
      <c r="Q39" s="4">
        <v>7171</v>
      </c>
    </row>
    <row r="40" spans="2:17" x14ac:dyDescent="0.2">
      <c r="B40" s="3" t="s">
        <v>29</v>
      </c>
      <c r="C40" s="4">
        <v>10334</v>
      </c>
      <c r="D40" s="4">
        <v>10594</v>
      </c>
      <c r="E40" s="4">
        <v>10841</v>
      </c>
      <c r="F40" s="4">
        <v>10966</v>
      </c>
      <c r="G40" s="4">
        <v>11064</v>
      </c>
      <c r="H40" s="4">
        <v>11176</v>
      </c>
      <c r="I40" s="4">
        <v>11369</v>
      </c>
      <c r="J40" s="4">
        <v>11557</v>
      </c>
      <c r="K40" s="4">
        <v>11654</v>
      </c>
      <c r="L40" s="4">
        <v>11841</v>
      </c>
      <c r="M40" s="4">
        <v>12045</v>
      </c>
      <c r="N40" s="4">
        <v>12320</v>
      </c>
      <c r="O40" s="4">
        <v>12562</v>
      </c>
      <c r="P40" s="4">
        <v>12929</v>
      </c>
      <c r="Q40" s="4">
        <v>13197</v>
      </c>
    </row>
    <row r="41" spans="2:17" x14ac:dyDescent="0.2">
      <c r="B41" s="7" t="s">
        <v>30</v>
      </c>
      <c r="C41" s="4">
        <v>320</v>
      </c>
      <c r="D41" s="4">
        <v>321</v>
      </c>
      <c r="E41" s="4">
        <v>321</v>
      </c>
      <c r="F41" s="4">
        <v>321</v>
      </c>
      <c r="G41" s="4">
        <v>319</v>
      </c>
      <c r="H41" s="4">
        <v>320</v>
      </c>
      <c r="I41" s="4">
        <v>321</v>
      </c>
      <c r="J41" s="4">
        <v>321</v>
      </c>
      <c r="K41" s="4">
        <v>330</v>
      </c>
      <c r="L41" s="4">
        <v>343</v>
      </c>
      <c r="M41" s="4">
        <v>354</v>
      </c>
      <c r="N41" s="4">
        <v>360</v>
      </c>
      <c r="O41" s="4">
        <v>366</v>
      </c>
      <c r="P41" s="4">
        <v>386</v>
      </c>
      <c r="Q41" s="4">
        <v>390</v>
      </c>
    </row>
    <row r="42" spans="2:17" x14ac:dyDescent="0.2">
      <c r="B42" s="7" t="s">
        <v>31</v>
      </c>
      <c r="C42" s="4">
        <v>182</v>
      </c>
      <c r="D42" s="4">
        <v>197</v>
      </c>
      <c r="E42" s="4">
        <v>196</v>
      </c>
      <c r="F42" s="4">
        <v>196</v>
      </c>
      <c r="G42" s="4">
        <v>197</v>
      </c>
      <c r="H42" s="4">
        <v>198</v>
      </c>
      <c r="I42" s="4">
        <v>210</v>
      </c>
      <c r="J42" s="4">
        <v>209</v>
      </c>
      <c r="K42" s="4">
        <v>210</v>
      </c>
      <c r="L42" s="4">
        <v>211</v>
      </c>
      <c r="M42" s="4">
        <v>217</v>
      </c>
      <c r="N42" s="4">
        <v>222</v>
      </c>
      <c r="O42" s="4">
        <v>226</v>
      </c>
      <c r="P42" s="4">
        <v>233</v>
      </c>
      <c r="Q42" s="4">
        <v>239</v>
      </c>
    </row>
    <row r="43" spans="2:17" x14ac:dyDescent="0.2">
      <c r="B43" s="7" t="s">
        <v>32</v>
      </c>
      <c r="C43" s="4">
        <v>475</v>
      </c>
      <c r="D43" s="4">
        <v>487</v>
      </c>
      <c r="E43" s="4">
        <v>504</v>
      </c>
      <c r="F43" s="4">
        <v>521</v>
      </c>
      <c r="G43" s="4">
        <v>528</v>
      </c>
      <c r="H43" s="4">
        <v>529</v>
      </c>
      <c r="I43" s="4">
        <v>531</v>
      </c>
      <c r="J43" s="4">
        <v>535</v>
      </c>
      <c r="K43" s="4">
        <v>539</v>
      </c>
      <c r="L43" s="4">
        <v>553</v>
      </c>
      <c r="M43" s="4">
        <v>559</v>
      </c>
      <c r="N43" s="4">
        <v>563</v>
      </c>
      <c r="O43" s="4">
        <v>609</v>
      </c>
      <c r="P43" s="4">
        <v>638</v>
      </c>
      <c r="Q43" s="4">
        <v>661</v>
      </c>
    </row>
    <row r="44" spans="2:17" x14ac:dyDescent="0.2">
      <c r="B44" s="7" t="s">
        <v>33</v>
      </c>
      <c r="C44" s="4">
        <v>1885</v>
      </c>
      <c r="D44" s="4">
        <v>1906</v>
      </c>
      <c r="E44" s="4">
        <v>1913</v>
      </c>
      <c r="F44" s="4">
        <v>1914</v>
      </c>
      <c r="G44" s="4">
        <v>1909</v>
      </c>
      <c r="H44" s="4">
        <v>1920</v>
      </c>
      <c r="I44" s="4">
        <v>1929</v>
      </c>
      <c r="J44" s="4">
        <v>1944</v>
      </c>
      <c r="K44" s="4">
        <v>1956</v>
      </c>
      <c r="L44" s="4">
        <v>1961</v>
      </c>
      <c r="M44" s="4">
        <v>1961</v>
      </c>
      <c r="N44" s="4">
        <v>2008</v>
      </c>
      <c r="O44" s="4">
        <v>2014</v>
      </c>
      <c r="P44" s="4">
        <v>2085</v>
      </c>
      <c r="Q44" s="4">
        <v>2104</v>
      </c>
    </row>
    <row r="45" spans="2:17" x14ac:dyDescent="0.2">
      <c r="B45" s="7" t="s">
        <v>34</v>
      </c>
      <c r="C45" s="4">
        <v>334</v>
      </c>
      <c r="D45" s="4">
        <v>352</v>
      </c>
      <c r="E45" s="4">
        <v>362</v>
      </c>
      <c r="F45" s="4">
        <v>382</v>
      </c>
      <c r="G45" s="4">
        <v>404</v>
      </c>
      <c r="H45" s="4">
        <v>406</v>
      </c>
      <c r="I45" s="4">
        <v>413</v>
      </c>
      <c r="J45" s="4">
        <v>426</v>
      </c>
      <c r="K45" s="4">
        <v>425</v>
      </c>
      <c r="L45" s="4">
        <v>442</v>
      </c>
      <c r="M45" s="4">
        <v>449</v>
      </c>
      <c r="N45" s="4">
        <v>457</v>
      </c>
      <c r="O45" s="4">
        <v>458</v>
      </c>
      <c r="P45" s="4">
        <v>463</v>
      </c>
      <c r="Q45" s="4">
        <v>465</v>
      </c>
    </row>
    <row r="46" spans="2:17" x14ac:dyDescent="0.2">
      <c r="B46" s="7" t="s">
        <v>35</v>
      </c>
      <c r="C46" s="4">
        <v>248</v>
      </c>
      <c r="D46" s="4">
        <v>247</v>
      </c>
      <c r="E46" s="4">
        <v>258</v>
      </c>
      <c r="F46" s="4">
        <v>258</v>
      </c>
      <c r="G46" s="4">
        <v>257</v>
      </c>
      <c r="H46" s="4">
        <v>257</v>
      </c>
      <c r="I46" s="4">
        <v>255</v>
      </c>
      <c r="J46" s="4">
        <v>254</v>
      </c>
      <c r="K46" s="4">
        <v>255</v>
      </c>
      <c r="L46" s="4">
        <v>255</v>
      </c>
      <c r="M46" s="4">
        <v>258</v>
      </c>
      <c r="N46" s="4">
        <v>258</v>
      </c>
      <c r="O46" s="4">
        <v>257</v>
      </c>
      <c r="P46" s="4">
        <v>259</v>
      </c>
      <c r="Q46" s="4">
        <v>261</v>
      </c>
    </row>
    <row r="47" spans="2:17" x14ac:dyDescent="0.2">
      <c r="B47" s="7" t="s">
        <v>36</v>
      </c>
      <c r="C47" s="4">
        <v>224</v>
      </c>
      <c r="D47" s="4">
        <v>232</v>
      </c>
      <c r="E47" s="4">
        <v>254</v>
      </c>
      <c r="F47" s="4">
        <v>254</v>
      </c>
      <c r="G47" s="4">
        <v>253</v>
      </c>
      <c r="H47" s="4">
        <v>259</v>
      </c>
      <c r="I47" s="4">
        <v>261</v>
      </c>
      <c r="J47" s="4">
        <v>263</v>
      </c>
      <c r="K47" s="4">
        <v>264</v>
      </c>
      <c r="L47" s="4">
        <v>265</v>
      </c>
      <c r="M47" s="4">
        <v>278</v>
      </c>
      <c r="N47" s="4">
        <v>296</v>
      </c>
      <c r="O47" s="4">
        <v>301</v>
      </c>
      <c r="P47" s="4">
        <v>309</v>
      </c>
      <c r="Q47" s="4">
        <v>320</v>
      </c>
    </row>
    <row r="48" spans="2:17" x14ac:dyDescent="0.2">
      <c r="B48" s="3" t="s">
        <v>37</v>
      </c>
      <c r="C48" s="4">
        <v>9322</v>
      </c>
      <c r="D48" s="4">
        <v>9498</v>
      </c>
      <c r="E48" s="4">
        <v>9597</v>
      </c>
      <c r="F48" s="4">
        <v>9669</v>
      </c>
      <c r="G48" s="4">
        <v>9776</v>
      </c>
      <c r="H48" s="4">
        <v>9952</v>
      </c>
      <c r="I48" s="4">
        <v>10252</v>
      </c>
      <c r="J48" s="4">
        <v>10388</v>
      </c>
      <c r="K48" s="4">
        <v>10565</v>
      </c>
      <c r="L48" s="4">
        <v>10682</v>
      </c>
      <c r="M48" s="4">
        <v>10798</v>
      </c>
      <c r="N48" s="4">
        <v>10908</v>
      </c>
      <c r="O48" s="4">
        <v>11022</v>
      </c>
      <c r="P48" s="4">
        <v>11209</v>
      </c>
      <c r="Q48" s="4">
        <v>11321</v>
      </c>
    </row>
    <row r="49" spans="1:17" x14ac:dyDescent="0.2">
      <c r="B49" s="3" t="s">
        <v>38</v>
      </c>
      <c r="C49" s="4">
        <v>20437</v>
      </c>
      <c r="D49" s="4">
        <v>20932</v>
      </c>
      <c r="E49" s="4">
        <v>21244</v>
      </c>
      <c r="F49" s="4">
        <v>21465</v>
      </c>
      <c r="G49" s="4">
        <v>21568</v>
      </c>
      <c r="H49" s="4">
        <v>21732</v>
      </c>
      <c r="I49" s="4">
        <v>22003</v>
      </c>
      <c r="J49" s="4">
        <v>22227</v>
      </c>
      <c r="K49" s="4">
        <v>22609</v>
      </c>
      <c r="L49" s="4">
        <v>23409</v>
      </c>
      <c r="M49" s="4">
        <v>24112</v>
      </c>
      <c r="N49" s="4">
        <v>24753</v>
      </c>
      <c r="O49" s="4">
        <v>25469</v>
      </c>
      <c r="P49" s="4">
        <v>26177</v>
      </c>
      <c r="Q49" s="4">
        <v>26724</v>
      </c>
    </row>
    <row r="50" spans="1:17" x14ac:dyDescent="0.2">
      <c r="B50" s="3" t="s">
        <v>39</v>
      </c>
      <c r="C50" s="4">
        <v>6940</v>
      </c>
      <c r="D50" s="4">
        <v>7065</v>
      </c>
      <c r="E50" s="4">
        <v>7131</v>
      </c>
      <c r="F50" s="4">
        <v>7189</v>
      </c>
      <c r="G50" s="4">
        <v>7244</v>
      </c>
      <c r="H50" s="4">
        <v>7270</v>
      </c>
      <c r="I50" s="4">
        <v>7293</v>
      </c>
      <c r="J50" s="4">
        <v>7364</v>
      </c>
      <c r="K50" s="4">
        <v>7419</v>
      </c>
      <c r="L50" s="4">
        <v>7478</v>
      </c>
      <c r="M50" s="4">
        <v>7533</v>
      </c>
      <c r="N50" s="4">
        <v>7644</v>
      </c>
      <c r="O50" s="4">
        <v>7764</v>
      </c>
      <c r="P50" s="4">
        <v>7957</v>
      </c>
      <c r="Q50" s="4">
        <v>8105</v>
      </c>
    </row>
    <row r="51" spans="1:17" x14ac:dyDescent="0.2">
      <c r="B51" s="6" t="s">
        <v>40</v>
      </c>
      <c r="C51" s="4">
        <v>1054</v>
      </c>
      <c r="D51" s="4">
        <v>1055</v>
      </c>
      <c r="E51" s="4">
        <v>1054</v>
      </c>
      <c r="F51" s="4">
        <v>1057</v>
      </c>
      <c r="G51" s="4">
        <v>1060</v>
      </c>
      <c r="H51" s="4">
        <v>1060</v>
      </c>
      <c r="I51" s="4">
        <v>1064</v>
      </c>
      <c r="J51" s="4">
        <v>1059</v>
      </c>
      <c r="K51" s="4">
        <v>1055</v>
      </c>
      <c r="L51" s="4">
        <v>1053</v>
      </c>
      <c r="M51" s="4">
        <v>1058</v>
      </c>
      <c r="N51" s="4">
        <v>1060</v>
      </c>
      <c r="O51" s="4">
        <v>1060</v>
      </c>
      <c r="P51" s="4">
        <v>1064</v>
      </c>
      <c r="Q51" s="4">
        <v>1064</v>
      </c>
    </row>
    <row r="52" spans="1:17" x14ac:dyDescent="0.2">
      <c r="B52" s="6" t="s">
        <v>41</v>
      </c>
      <c r="C52" s="4">
        <v>1149</v>
      </c>
      <c r="D52" s="4">
        <v>1145</v>
      </c>
      <c r="E52" s="4">
        <v>1145</v>
      </c>
      <c r="F52" s="4">
        <v>1147</v>
      </c>
      <c r="G52" s="4">
        <v>1149</v>
      </c>
      <c r="H52" s="4">
        <v>1149</v>
      </c>
      <c r="I52" s="4">
        <v>1158</v>
      </c>
      <c r="J52" s="4">
        <v>1153</v>
      </c>
      <c r="K52" s="4">
        <v>1154</v>
      </c>
      <c r="L52" s="4">
        <v>1164</v>
      </c>
      <c r="M52" s="4">
        <v>1165</v>
      </c>
      <c r="N52" s="4">
        <v>1176</v>
      </c>
      <c r="O52" s="4">
        <v>1204</v>
      </c>
      <c r="P52" s="4">
        <v>1255</v>
      </c>
      <c r="Q52" s="4">
        <v>1255</v>
      </c>
    </row>
    <row r="53" spans="1:17" x14ac:dyDescent="0.2">
      <c r="B53" s="3" t="s">
        <v>42</v>
      </c>
      <c r="C53" s="4">
        <v>12332</v>
      </c>
      <c r="D53" s="4">
        <v>12491</v>
      </c>
      <c r="E53" s="4">
        <v>12701</v>
      </c>
      <c r="F53" s="4">
        <v>12817</v>
      </c>
      <c r="G53" s="4">
        <v>12947</v>
      </c>
      <c r="H53" s="4">
        <v>12937</v>
      </c>
      <c r="I53" s="4">
        <v>13099</v>
      </c>
      <c r="J53" s="4">
        <v>13258</v>
      </c>
      <c r="K53" s="4">
        <v>13401</v>
      </c>
      <c r="L53" s="4">
        <v>13676</v>
      </c>
      <c r="M53" s="4">
        <v>13916</v>
      </c>
      <c r="N53" s="4">
        <v>14232</v>
      </c>
      <c r="O53" s="4">
        <v>14558</v>
      </c>
      <c r="P53" s="4">
        <v>14995</v>
      </c>
      <c r="Q53" s="4">
        <v>15209</v>
      </c>
    </row>
    <row r="54" spans="1:17" x14ac:dyDescent="0.2">
      <c r="A54" s="3" t="s">
        <v>44</v>
      </c>
      <c r="B54" s="3" t="s">
        <v>18</v>
      </c>
      <c r="C54" s="4">
        <v>12981</v>
      </c>
      <c r="D54" s="4">
        <v>12862</v>
      </c>
      <c r="E54" s="4">
        <v>12818</v>
      </c>
      <c r="F54" s="4">
        <v>12724</v>
      </c>
      <c r="G54" s="4">
        <v>12654</v>
      </c>
      <c r="H54" s="4">
        <v>12592</v>
      </c>
      <c r="I54" s="4">
        <v>12490</v>
      </c>
      <c r="J54" s="4">
        <v>12409</v>
      </c>
      <c r="K54" s="4">
        <v>12365</v>
      </c>
      <c r="L54" s="4">
        <v>12321</v>
      </c>
      <c r="M54" s="4">
        <v>12299</v>
      </c>
      <c r="N54" s="4">
        <v>12302</v>
      </c>
      <c r="O54" s="4">
        <v>12299</v>
      </c>
      <c r="P54" s="4">
        <v>12341</v>
      </c>
      <c r="Q54" s="4">
        <v>12298</v>
      </c>
    </row>
    <row r="55" spans="1:17" x14ac:dyDescent="0.2">
      <c r="B55" s="3" t="s">
        <v>19</v>
      </c>
      <c r="C55" s="4">
        <v>2596</v>
      </c>
      <c r="D55" s="4">
        <v>2592</v>
      </c>
      <c r="E55" s="4">
        <v>2592</v>
      </c>
      <c r="F55" s="4">
        <v>2603</v>
      </c>
      <c r="G55" s="4">
        <v>2613</v>
      </c>
      <c r="H55" s="4">
        <v>2606</v>
      </c>
      <c r="I55" s="4">
        <v>2610</v>
      </c>
      <c r="J55" s="4">
        <v>2607</v>
      </c>
      <c r="K55" s="4">
        <v>2616</v>
      </c>
      <c r="L55" s="4">
        <v>2620</v>
      </c>
      <c r="M55" s="4">
        <v>2628</v>
      </c>
      <c r="N55" s="4">
        <v>2642</v>
      </c>
      <c r="O55" s="4">
        <v>2643</v>
      </c>
      <c r="P55" s="4">
        <v>2681</v>
      </c>
      <c r="Q55" s="4">
        <v>2695</v>
      </c>
    </row>
    <row r="56" spans="1:17" x14ac:dyDescent="0.2">
      <c r="B56" s="3" t="s">
        <v>20</v>
      </c>
      <c r="C56" s="4">
        <v>8075</v>
      </c>
      <c r="D56" s="4">
        <v>8111</v>
      </c>
      <c r="E56" s="4">
        <v>8151</v>
      </c>
      <c r="F56" s="4">
        <v>8157</v>
      </c>
      <c r="G56" s="4">
        <v>8144</v>
      </c>
      <c r="H56" s="4">
        <v>8146</v>
      </c>
      <c r="I56" s="4">
        <v>8135</v>
      </c>
      <c r="J56" s="4">
        <v>8149</v>
      </c>
      <c r="K56" s="4">
        <v>8159</v>
      </c>
      <c r="L56" s="4">
        <v>8166</v>
      </c>
      <c r="M56" s="4">
        <v>8174</v>
      </c>
      <c r="N56" s="4">
        <v>8179</v>
      </c>
      <c r="O56" s="4">
        <v>8213</v>
      </c>
      <c r="P56" s="4">
        <v>8296</v>
      </c>
      <c r="Q56" s="4">
        <v>8335</v>
      </c>
    </row>
    <row r="57" spans="1:17" x14ac:dyDescent="0.2">
      <c r="B57" s="3" t="s">
        <v>21</v>
      </c>
      <c r="C57" s="4">
        <v>3965</v>
      </c>
      <c r="D57" s="4">
        <v>3954</v>
      </c>
      <c r="E57" s="4">
        <v>3942</v>
      </c>
      <c r="F57" s="4">
        <v>3949</v>
      </c>
      <c r="G57" s="4">
        <v>3980</v>
      </c>
      <c r="H57" s="4">
        <v>3989</v>
      </c>
      <c r="I57" s="4">
        <v>3949</v>
      </c>
      <c r="J57" s="4">
        <v>3954</v>
      </c>
      <c r="K57" s="4">
        <v>3944</v>
      </c>
      <c r="L57" s="4">
        <v>3926</v>
      </c>
      <c r="M57" s="4">
        <v>3915</v>
      </c>
      <c r="N57" s="4">
        <v>3955</v>
      </c>
      <c r="O57" s="4">
        <v>3980</v>
      </c>
      <c r="P57" s="4">
        <v>4077</v>
      </c>
      <c r="Q57" s="4">
        <v>4123</v>
      </c>
    </row>
    <row r="58" spans="1:17" x14ac:dyDescent="0.2">
      <c r="B58" s="3" t="s">
        <v>22</v>
      </c>
      <c r="C58" s="4">
        <v>2286</v>
      </c>
      <c r="D58" s="4">
        <v>2190</v>
      </c>
      <c r="E58" s="4">
        <v>2239</v>
      </c>
      <c r="F58" s="4">
        <v>2255</v>
      </c>
      <c r="G58" s="4">
        <v>2273</v>
      </c>
      <c r="H58" s="4">
        <v>2267</v>
      </c>
      <c r="I58" s="4">
        <v>2266</v>
      </c>
      <c r="J58" s="4">
        <v>2243</v>
      </c>
      <c r="K58" s="4">
        <v>2240</v>
      </c>
      <c r="L58" s="4">
        <v>2267</v>
      </c>
      <c r="M58" s="4">
        <v>2270</v>
      </c>
      <c r="N58" s="4">
        <v>2278</v>
      </c>
      <c r="O58" s="4">
        <v>2280</v>
      </c>
      <c r="P58" s="4">
        <v>2375</v>
      </c>
      <c r="Q58" s="4">
        <v>2402</v>
      </c>
    </row>
    <row r="59" spans="1:17" x14ac:dyDescent="0.2">
      <c r="B59" s="3" t="s">
        <v>23</v>
      </c>
      <c r="C59" s="4">
        <v>4124</v>
      </c>
      <c r="D59" s="4">
        <v>4127</v>
      </c>
      <c r="E59" s="4">
        <v>4152</v>
      </c>
      <c r="F59" s="4">
        <v>4129</v>
      </c>
      <c r="G59" s="4">
        <v>4101</v>
      </c>
      <c r="H59" s="4">
        <v>4064</v>
      </c>
      <c r="I59" s="4">
        <v>4024</v>
      </c>
      <c r="J59" s="4">
        <v>4024</v>
      </c>
      <c r="K59" s="4">
        <v>3995</v>
      </c>
      <c r="L59" s="4">
        <v>3995</v>
      </c>
      <c r="M59" s="4">
        <v>4003</v>
      </c>
      <c r="N59" s="4">
        <v>4029</v>
      </c>
      <c r="O59" s="4">
        <v>4056</v>
      </c>
      <c r="P59" s="4">
        <v>4132</v>
      </c>
      <c r="Q59" s="4">
        <v>4163</v>
      </c>
    </row>
    <row r="60" spans="1:17" x14ac:dyDescent="0.2">
      <c r="B60" s="3" t="s">
        <v>24</v>
      </c>
      <c r="C60" s="4">
        <v>3683</v>
      </c>
      <c r="D60" s="4">
        <v>3678</v>
      </c>
      <c r="E60" s="4">
        <v>3685</v>
      </c>
      <c r="F60" s="4">
        <v>3650</v>
      </c>
      <c r="G60" s="4">
        <v>3582</v>
      </c>
      <c r="H60" s="4">
        <v>3547</v>
      </c>
      <c r="I60" s="4">
        <v>3544</v>
      </c>
      <c r="J60" s="4">
        <v>3507</v>
      </c>
      <c r="K60" s="4">
        <v>3511</v>
      </c>
      <c r="L60" s="4">
        <v>3522</v>
      </c>
      <c r="M60" s="4">
        <v>3527</v>
      </c>
      <c r="N60" s="4">
        <v>3545</v>
      </c>
      <c r="O60" s="4">
        <v>3539</v>
      </c>
      <c r="P60" s="4">
        <v>3619</v>
      </c>
      <c r="Q60" s="4">
        <v>3628</v>
      </c>
    </row>
    <row r="61" spans="1:17" x14ac:dyDescent="0.2">
      <c r="B61" s="3" t="s">
        <v>25</v>
      </c>
      <c r="C61" s="4">
        <v>303</v>
      </c>
      <c r="D61" s="4">
        <v>299</v>
      </c>
      <c r="E61" s="4">
        <v>301</v>
      </c>
      <c r="F61" s="4">
        <v>300</v>
      </c>
      <c r="G61" s="4">
        <v>296</v>
      </c>
      <c r="H61" s="4">
        <v>298</v>
      </c>
      <c r="I61" s="4">
        <v>303</v>
      </c>
      <c r="J61" s="4">
        <v>306</v>
      </c>
      <c r="K61" s="4">
        <v>308</v>
      </c>
      <c r="L61" s="4">
        <v>311</v>
      </c>
      <c r="M61" s="4">
        <v>328</v>
      </c>
      <c r="N61" s="4">
        <v>334</v>
      </c>
      <c r="O61" s="4">
        <v>337</v>
      </c>
      <c r="P61" s="4">
        <v>351</v>
      </c>
      <c r="Q61" s="4">
        <v>360</v>
      </c>
    </row>
    <row r="62" spans="1:17" x14ac:dyDescent="0.2">
      <c r="B62" s="3" t="s">
        <v>26</v>
      </c>
      <c r="C62" s="4">
        <v>8490</v>
      </c>
      <c r="D62" s="4">
        <v>8444</v>
      </c>
      <c r="E62" s="4">
        <v>8406</v>
      </c>
      <c r="F62" s="4">
        <v>8336</v>
      </c>
      <c r="G62" s="4">
        <v>8292</v>
      </c>
      <c r="H62" s="4">
        <v>8199</v>
      </c>
      <c r="I62" s="4">
        <v>8162</v>
      </c>
      <c r="J62" s="4">
        <v>8150</v>
      </c>
      <c r="K62" s="4">
        <v>8151</v>
      </c>
      <c r="L62" s="4">
        <v>8172</v>
      </c>
      <c r="M62" s="4">
        <v>8201</v>
      </c>
      <c r="N62" s="4">
        <v>8249</v>
      </c>
      <c r="O62" s="4">
        <v>8322</v>
      </c>
      <c r="P62" s="4">
        <v>8452</v>
      </c>
      <c r="Q62" s="4">
        <v>8479</v>
      </c>
    </row>
    <row r="63" spans="1:17" x14ac:dyDescent="0.2">
      <c r="B63" s="3" t="s">
        <v>27</v>
      </c>
      <c r="C63" s="4">
        <v>4735</v>
      </c>
      <c r="D63" s="4">
        <v>4693</v>
      </c>
      <c r="E63" s="4">
        <v>4699</v>
      </c>
      <c r="F63" s="4">
        <v>4672</v>
      </c>
      <c r="G63" s="4">
        <v>4649</v>
      </c>
      <c r="H63" s="4">
        <v>4618</v>
      </c>
      <c r="I63" s="4">
        <v>4590</v>
      </c>
      <c r="J63" s="4">
        <v>4649</v>
      </c>
      <c r="K63" s="4">
        <v>4636</v>
      </c>
      <c r="L63" s="4">
        <v>4629</v>
      </c>
      <c r="M63" s="4">
        <v>4621</v>
      </c>
      <c r="N63" s="4">
        <v>4671</v>
      </c>
      <c r="O63" s="4">
        <v>4719</v>
      </c>
      <c r="P63" s="4">
        <v>4792</v>
      </c>
      <c r="Q63" s="4">
        <v>4772</v>
      </c>
    </row>
    <row r="64" spans="1:17" x14ac:dyDescent="0.2">
      <c r="B64" s="3" t="s">
        <v>28</v>
      </c>
      <c r="C64" s="4">
        <v>2902</v>
      </c>
      <c r="D64" s="4">
        <v>2883</v>
      </c>
      <c r="E64" s="4">
        <v>2894</v>
      </c>
      <c r="F64" s="4">
        <v>2881</v>
      </c>
      <c r="G64" s="4">
        <v>2878</v>
      </c>
      <c r="H64" s="4">
        <v>2887</v>
      </c>
      <c r="I64" s="4">
        <v>2891</v>
      </c>
      <c r="J64" s="4">
        <v>2908</v>
      </c>
      <c r="K64" s="4">
        <v>2903</v>
      </c>
      <c r="L64" s="4">
        <v>2912</v>
      </c>
      <c r="M64" s="4">
        <v>2933</v>
      </c>
      <c r="N64" s="4">
        <v>2972</v>
      </c>
      <c r="O64" s="4">
        <v>3009</v>
      </c>
      <c r="P64" s="4">
        <v>3045</v>
      </c>
      <c r="Q64" s="4">
        <v>3049</v>
      </c>
    </row>
    <row r="65" spans="1:17" x14ac:dyDescent="0.2">
      <c r="B65" s="3" t="s">
        <v>29</v>
      </c>
      <c r="C65" s="4">
        <v>6541</v>
      </c>
      <c r="D65" s="4">
        <v>6492</v>
      </c>
      <c r="E65" s="4">
        <v>6509</v>
      </c>
      <c r="F65" s="4">
        <v>6506</v>
      </c>
      <c r="G65" s="4">
        <v>6484</v>
      </c>
      <c r="H65" s="4">
        <v>6505</v>
      </c>
      <c r="I65" s="4">
        <v>6505</v>
      </c>
      <c r="J65" s="4">
        <v>6466</v>
      </c>
      <c r="K65" s="4">
        <v>6482</v>
      </c>
      <c r="L65" s="4">
        <v>6549</v>
      </c>
      <c r="M65" s="4">
        <v>6648</v>
      </c>
      <c r="N65" s="4">
        <v>6754</v>
      </c>
      <c r="O65" s="4">
        <v>6866</v>
      </c>
      <c r="P65" s="4">
        <v>7025</v>
      </c>
      <c r="Q65" s="4">
        <v>7072</v>
      </c>
    </row>
    <row r="66" spans="1:17" x14ac:dyDescent="0.2">
      <c r="B66" s="7" t="s">
        <v>30</v>
      </c>
      <c r="C66" s="4">
        <v>70</v>
      </c>
      <c r="D66" s="4">
        <v>70</v>
      </c>
      <c r="E66" s="4">
        <v>70</v>
      </c>
      <c r="F66" s="4">
        <v>73</v>
      </c>
      <c r="G66" s="4">
        <v>74</v>
      </c>
      <c r="H66" s="4">
        <v>76</v>
      </c>
      <c r="I66" s="4">
        <v>74</v>
      </c>
      <c r="J66" s="4">
        <v>73</v>
      </c>
      <c r="K66" s="4">
        <v>74</v>
      </c>
      <c r="L66" s="4">
        <v>73</v>
      </c>
      <c r="M66" s="4">
        <v>76</v>
      </c>
      <c r="N66" s="4">
        <v>82</v>
      </c>
      <c r="O66" s="4">
        <v>87</v>
      </c>
      <c r="P66" s="4">
        <v>89</v>
      </c>
      <c r="Q66" s="4">
        <v>92</v>
      </c>
    </row>
    <row r="67" spans="1:17" x14ac:dyDescent="0.2">
      <c r="B67" s="7" t="s">
        <v>31</v>
      </c>
      <c r="C67" s="4">
        <v>54</v>
      </c>
      <c r="D67" s="4">
        <v>43</v>
      </c>
      <c r="E67" s="4">
        <v>44</v>
      </c>
      <c r="F67" s="4">
        <v>45</v>
      </c>
      <c r="G67" s="4">
        <v>45</v>
      </c>
      <c r="H67" s="4">
        <v>49</v>
      </c>
      <c r="I67" s="4">
        <v>50</v>
      </c>
      <c r="J67" s="4">
        <v>49</v>
      </c>
      <c r="K67" s="4">
        <v>50</v>
      </c>
      <c r="L67" s="4">
        <v>50</v>
      </c>
      <c r="M67" s="4">
        <v>53</v>
      </c>
      <c r="N67" s="4">
        <v>58</v>
      </c>
      <c r="O67" s="4">
        <v>59</v>
      </c>
      <c r="P67" s="4">
        <v>63</v>
      </c>
      <c r="Q67" s="4">
        <v>64</v>
      </c>
    </row>
    <row r="68" spans="1:17" x14ac:dyDescent="0.2">
      <c r="B68" s="7" t="s">
        <v>32</v>
      </c>
      <c r="C68" s="4">
        <v>139</v>
      </c>
      <c r="D68" s="4">
        <v>136</v>
      </c>
      <c r="E68" s="4">
        <v>137</v>
      </c>
      <c r="F68" s="4">
        <v>136</v>
      </c>
      <c r="G68" s="4">
        <v>135</v>
      </c>
      <c r="H68" s="4">
        <v>131</v>
      </c>
      <c r="I68" s="4">
        <v>131</v>
      </c>
      <c r="J68" s="4">
        <v>131</v>
      </c>
      <c r="K68" s="4">
        <v>130</v>
      </c>
      <c r="L68" s="4">
        <v>132</v>
      </c>
      <c r="M68" s="4">
        <v>131</v>
      </c>
      <c r="N68" s="4">
        <v>129</v>
      </c>
      <c r="O68" s="4">
        <v>129</v>
      </c>
      <c r="P68" s="4">
        <v>142</v>
      </c>
      <c r="Q68" s="4">
        <v>145</v>
      </c>
    </row>
    <row r="69" spans="1:17" x14ac:dyDescent="0.2">
      <c r="B69" s="7" t="s">
        <v>33</v>
      </c>
      <c r="C69" s="4">
        <v>1594</v>
      </c>
      <c r="D69" s="4">
        <v>1576</v>
      </c>
      <c r="E69" s="4">
        <v>1583</v>
      </c>
      <c r="F69" s="4">
        <v>1574</v>
      </c>
      <c r="G69" s="4">
        <v>1569</v>
      </c>
      <c r="H69" s="4">
        <v>1563</v>
      </c>
      <c r="I69" s="4">
        <v>1560</v>
      </c>
      <c r="J69" s="4">
        <v>1552</v>
      </c>
      <c r="K69" s="4">
        <v>1550</v>
      </c>
      <c r="L69" s="4">
        <v>1565</v>
      </c>
      <c r="M69" s="4">
        <v>1592</v>
      </c>
      <c r="N69" s="4">
        <v>1608</v>
      </c>
      <c r="O69" s="4">
        <v>1619</v>
      </c>
      <c r="P69" s="4">
        <v>1651</v>
      </c>
      <c r="Q69" s="4">
        <v>1654</v>
      </c>
    </row>
    <row r="70" spans="1:17" x14ac:dyDescent="0.2">
      <c r="B70" s="7" t="s">
        <v>34</v>
      </c>
      <c r="C70" s="4">
        <v>66</v>
      </c>
      <c r="D70" s="4">
        <v>67</v>
      </c>
      <c r="E70" s="4">
        <v>65</v>
      </c>
      <c r="F70" s="4">
        <v>61</v>
      </c>
      <c r="G70" s="4">
        <v>68</v>
      </c>
      <c r="H70" s="4">
        <v>71</v>
      </c>
      <c r="I70" s="4">
        <v>72</v>
      </c>
      <c r="J70" s="4">
        <v>78</v>
      </c>
      <c r="K70" s="4">
        <v>83</v>
      </c>
      <c r="L70" s="4">
        <v>89</v>
      </c>
      <c r="M70" s="4">
        <v>95</v>
      </c>
      <c r="N70" s="4">
        <v>100</v>
      </c>
      <c r="O70" s="4">
        <v>108</v>
      </c>
      <c r="P70" s="4">
        <v>115</v>
      </c>
      <c r="Q70" s="4">
        <v>115</v>
      </c>
    </row>
    <row r="71" spans="1:17" x14ac:dyDescent="0.2">
      <c r="B71" s="7" t="s">
        <v>35</v>
      </c>
      <c r="C71" s="4">
        <v>67</v>
      </c>
      <c r="D71" s="4">
        <v>64</v>
      </c>
      <c r="E71" s="4">
        <v>65</v>
      </c>
      <c r="F71" s="4">
        <v>68</v>
      </c>
      <c r="G71" s="4">
        <v>66</v>
      </c>
      <c r="H71" s="4">
        <v>63</v>
      </c>
      <c r="I71" s="4">
        <v>62</v>
      </c>
      <c r="J71" s="4">
        <v>63</v>
      </c>
      <c r="K71" s="4">
        <v>63</v>
      </c>
      <c r="L71" s="4">
        <v>63</v>
      </c>
      <c r="M71" s="4">
        <v>65</v>
      </c>
      <c r="N71" s="4">
        <v>69</v>
      </c>
      <c r="O71" s="4">
        <v>71</v>
      </c>
      <c r="P71" s="4">
        <v>72</v>
      </c>
      <c r="Q71" s="4">
        <v>73</v>
      </c>
    </row>
    <row r="72" spans="1:17" x14ac:dyDescent="0.2">
      <c r="B72" s="7" t="s">
        <v>36</v>
      </c>
      <c r="C72" s="4">
        <v>82</v>
      </c>
      <c r="D72" s="4">
        <v>83</v>
      </c>
      <c r="E72" s="4">
        <v>84</v>
      </c>
      <c r="F72" s="4">
        <v>83</v>
      </c>
      <c r="G72" s="4">
        <v>85</v>
      </c>
      <c r="H72" s="4">
        <v>86</v>
      </c>
      <c r="I72" s="4">
        <v>86</v>
      </c>
      <c r="J72" s="4">
        <v>65</v>
      </c>
      <c r="K72" s="4">
        <v>65</v>
      </c>
      <c r="L72" s="4">
        <v>87</v>
      </c>
      <c r="M72" s="4">
        <v>89</v>
      </c>
      <c r="N72" s="4">
        <v>89</v>
      </c>
      <c r="O72" s="4">
        <v>89</v>
      </c>
      <c r="P72" s="4">
        <v>96</v>
      </c>
      <c r="Q72" s="4">
        <v>97</v>
      </c>
    </row>
    <row r="73" spans="1:17" x14ac:dyDescent="0.2">
      <c r="B73" s="3" t="s">
        <v>37</v>
      </c>
      <c r="C73" s="4">
        <v>3807</v>
      </c>
      <c r="D73" s="4">
        <v>3745</v>
      </c>
      <c r="E73" s="4">
        <v>3783</v>
      </c>
      <c r="F73" s="4">
        <v>3775</v>
      </c>
      <c r="G73" s="4">
        <v>3741</v>
      </c>
      <c r="H73" s="4">
        <v>3688</v>
      </c>
      <c r="I73" s="4">
        <v>3691</v>
      </c>
      <c r="J73" s="4">
        <v>3684</v>
      </c>
      <c r="K73" s="4">
        <v>3717</v>
      </c>
      <c r="L73" s="4">
        <v>3793</v>
      </c>
      <c r="M73" s="4">
        <v>3840</v>
      </c>
      <c r="N73" s="4">
        <v>3848</v>
      </c>
      <c r="O73" s="4">
        <v>3923</v>
      </c>
      <c r="P73" s="4">
        <v>3974</v>
      </c>
      <c r="Q73" s="4">
        <v>3968</v>
      </c>
    </row>
    <row r="74" spans="1:17" x14ac:dyDescent="0.2">
      <c r="B74" s="3" t="s">
        <v>38</v>
      </c>
      <c r="C74" s="4">
        <v>10208</v>
      </c>
      <c r="D74" s="4">
        <v>10264</v>
      </c>
      <c r="E74" s="4">
        <v>10336</v>
      </c>
      <c r="F74" s="4">
        <v>10323</v>
      </c>
      <c r="G74" s="4">
        <v>10280</v>
      </c>
      <c r="H74" s="4">
        <v>10277</v>
      </c>
      <c r="I74" s="4">
        <v>10278</v>
      </c>
      <c r="J74" s="4">
        <v>10355</v>
      </c>
      <c r="K74" s="4">
        <v>10368</v>
      </c>
      <c r="L74" s="4">
        <v>10440</v>
      </c>
      <c r="M74" s="4">
        <v>10521</v>
      </c>
      <c r="N74" s="4">
        <v>10605</v>
      </c>
      <c r="O74" s="4">
        <v>10727</v>
      </c>
      <c r="P74" s="4">
        <v>10914</v>
      </c>
      <c r="Q74" s="4">
        <v>10995</v>
      </c>
    </row>
    <row r="75" spans="1:17" x14ac:dyDescent="0.2">
      <c r="B75" s="3" t="s">
        <v>39</v>
      </c>
      <c r="C75" s="4">
        <v>3196</v>
      </c>
      <c r="D75" s="4">
        <v>3160</v>
      </c>
      <c r="E75" s="4">
        <v>3166</v>
      </c>
      <c r="F75" s="4">
        <v>3157</v>
      </c>
      <c r="G75" s="4">
        <v>3160</v>
      </c>
      <c r="H75" s="4">
        <v>3140</v>
      </c>
      <c r="I75" s="4">
        <v>3138</v>
      </c>
      <c r="J75" s="4">
        <v>3146</v>
      </c>
      <c r="K75" s="4">
        <v>3180</v>
      </c>
      <c r="L75" s="4">
        <v>3234</v>
      </c>
      <c r="M75" s="4">
        <v>3279</v>
      </c>
      <c r="N75" s="4">
        <v>3330</v>
      </c>
      <c r="O75" s="4">
        <v>3357</v>
      </c>
      <c r="P75" s="4">
        <v>3455</v>
      </c>
      <c r="Q75" s="4">
        <v>3441</v>
      </c>
    </row>
    <row r="76" spans="1:17" x14ac:dyDescent="0.2">
      <c r="B76" s="6" t="s">
        <v>40</v>
      </c>
      <c r="C76" s="4">
        <v>286</v>
      </c>
      <c r="D76" s="4">
        <v>276</v>
      </c>
      <c r="E76" s="4">
        <v>272</v>
      </c>
      <c r="F76" s="4">
        <v>270</v>
      </c>
      <c r="G76" s="4">
        <v>265</v>
      </c>
      <c r="H76" s="4">
        <v>260</v>
      </c>
      <c r="I76" s="4">
        <v>256</v>
      </c>
      <c r="J76" s="4">
        <v>252</v>
      </c>
      <c r="K76" s="4">
        <v>247</v>
      </c>
      <c r="L76" s="4">
        <v>249</v>
      </c>
      <c r="M76" s="4">
        <v>244</v>
      </c>
      <c r="N76" s="4">
        <v>251</v>
      </c>
      <c r="O76" s="4">
        <v>257</v>
      </c>
      <c r="P76" s="4">
        <v>266</v>
      </c>
      <c r="Q76" s="4">
        <v>265</v>
      </c>
    </row>
    <row r="77" spans="1:17" x14ac:dyDescent="0.2">
      <c r="B77" s="6" t="s">
        <v>41</v>
      </c>
      <c r="C77" s="4">
        <v>494</v>
      </c>
      <c r="D77" s="4">
        <v>471</v>
      </c>
      <c r="E77" s="4">
        <v>473</v>
      </c>
      <c r="F77" s="4">
        <v>458</v>
      </c>
      <c r="G77" s="4">
        <v>458</v>
      </c>
      <c r="H77" s="4">
        <v>452</v>
      </c>
      <c r="I77" s="4">
        <v>444</v>
      </c>
      <c r="J77" s="4">
        <v>448</v>
      </c>
      <c r="K77" s="4">
        <v>456</v>
      </c>
      <c r="L77" s="4">
        <v>465</v>
      </c>
      <c r="M77" s="4">
        <v>463</v>
      </c>
      <c r="N77" s="4">
        <v>467</v>
      </c>
      <c r="O77" s="4">
        <v>473</v>
      </c>
      <c r="P77" s="4">
        <v>483</v>
      </c>
      <c r="Q77" s="4">
        <v>484</v>
      </c>
    </row>
    <row r="78" spans="1:17" x14ac:dyDescent="0.2">
      <c r="B78" s="3" t="s">
        <v>42</v>
      </c>
      <c r="C78" s="4">
        <v>7639</v>
      </c>
      <c r="D78" s="4">
        <v>7639</v>
      </c>
      <c r="E78" s="4">
        <v>7681</v>
      </c>
      <c r="F78" s="4">
        <v>7648</v>
      </c>
      <c r="G78" s="4">
        <v>7599</v>
      </c>
      <c r="H78" s="4">
        <v>7576</v>
      </c>
      <c r="I78" s="4">
        <v>7549</v>
      </c>
      <c r="J78" s="4">
        <v>7503</v>
      </c>
      <c r="K78" s="4">
        <v>7504</v>
      </c>
      <c r="L78" s="4">
        <v>7508</v>
      </c>
      <c r="M78" s="4">
        <v>7513</v>
      </c>
      <c r="N78" s="4">
        <v>7601</v>
      </c>
      <c r="O78" s="4">
        <v>7690</v>
      </c>
      <c r="P78" s="4">
        <v>7824</v>
      </c>
      <c r="Q78" s="4">
        <v>7850</v>
      </c>
    </row>
    <row r="80" spans="1:17" ht="32" x14ac:dyDescent="0.2">
      <c r="A80" s="5" t="s">
        <v>45</v>
      </c>
    </row>
    <row r="81" spans="1:17" x14ac:dyDescent="0.2">
      <c r="A81" s="9" t="s">
        <v>52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8</v>
      </c>
      <c r="J81" s="3" t="s">
        <v>9</v>
      </c>
      <c r="K81" s="3" t="s">
        <v>10</v>
      </c>
      <c r="L81" s="3" t="s">
        <v>11</v>
      </c>
      <c r="M81" s="3" t="s">
        <v>12</v>
      </c>
      <c r="N81" s="3" t="s">
        <v>13</v>
      </c>
      <c r="O81" s="3" t="s">
        <v>14</v>
      </c>
      <c r="P81" s="3" t="s">
        <v>15</v>
      </c>
      <c r="Q81" s="3" t="s">
        <v>16</v>
      </c>
    </row>
    <row r="82" spans="1:17" x14ac:dyDescent="0.2">
      <c r="A82" t="s">
        <v>56</v>
      </c>
      <c r="B82" t="s">
        <v>47</v>
      </c>
      <c r="C82">
        <f>SUM(C54:C57)+C61</f>
        <v>27920</v>
      </c>
      <c r="D82">
        <f t="shared" ref="D82:Q82" si="0">SUM(D54:D57)+D61</f>
        <v>27818</v>
      </c>
      <c r="E82">
        <f t="shared" si="0"/>
        <v>27804</v>
      </c>
      <c r="F82">
        <f t="shared" si="0"/>
        <v>27733</v>
      </c>
      <c r="G82">
        <f t="shared" si="0"/>
        <v>27687</v>
      </c>
      <c r="H82">
        <f t="shared" si="0"/>
        <v>27631</v>
      </c>
      <c r="I82">
        <f t="shared" si="0"/>
        <v>27487</v>
      </c>
      <c r="J82">
        <f t="shared" si="0"/>
        <v>27425</v>
      </c>
      <c r="K82">
        <f t="shared" si="0"/>
        <v>27392</v>
      </c>
      <c r="L82">
        <f t="shared" si="0"/>
        <v>27344</v>
      </c>
      <c r="M82">
        <f t="shared" si="0"/>
        <v>27344</v>
      </c>
      <c r="N82">
        <f t="shared" si="0"/>
        <v>27412</v>
      </c>
      <c r="O82">
        <f t="shared" si="0"/>
        <v>27472</v>
      </c>
      <c r="P82">
        <f t="shared" si="0"/>
        <v>27746</v>
      </c>
      <c r="Q82">
        <f t="shared" si="0"/>
        <v>27811</v>
      </c>
    </row>
    <row r="83" spans="1:17" x14ac:dyDescent="0.2">
      <c r="A83" t="s">
        <v>57</v>
      </c>
      <c r="B83" t="s">
        <v>48</v>
      </c>
      <c r="C83">
        <f>SUM(C58:C60)</f>
        <v>10093</v>
      </c>
      <c r="D83">
        <f t="shared" ref="D83:Q83" si="1">SUM(D58:D60)</f>
        <v>9995</v>
      </c>
      <c r="E83">
        <f t="shared" si="1"/>
        <v>10076</v>
      </c>
      <c r="F83">
        <f t="shared" si="1"/>
        <v>10034</v>
      </c>
      <c r="G83">
        <f t="shared" si="1"/>
        <v>9956</v>
      </c>
      <c r="H83">
        <f t="shared" si="1"/>
        <v>9878</v>
      </c>
      <c r="I83">
        <f t="shared" si="1"/>
        <v>9834</v>
      </c>
      <c r="J83">
        <f t="shared" si="1"/>
        <v>9774</v>
      </c>
      <c r="K83">
        <f t="shared" si="1"/>
        <v>9746</v>
      </c>
      <c r="L83">
        <f t="shared" si="1"/>
        <v>9784</v>
      </c>
      <c r="M83">
        <f t="shared" si="1"/>
        <v>9800</v>
      </c>
      <c r="N83">
        <f t="shared" si="1"/>
        <v>9852</v>
      </c>
      <c r="O83">
        <f t="shared" si="1"/>
        <v>9875</v>
      </c>
      <c r="P83">
        <f t="shared" si="1"/>
        <v>10126</v>
      </c>
      <c r="Q83">
        <f t="shared" si="1"/>
        <v>10193</v>
      </c>
    </row>
    <row r="84" spans="1:17" ht="48" x14ac:dyDescent="0.2">
      <c r="A84" s="8" t="s">
        <v>55</v>
      </c>
      <c r="B84" t="s">
        <v>49</v>
      </c>
      <c r="C84">
        <f>SUM(C73:C75)-(C76+C77)+SUM(C66:C72)</f>
        <v>18503</v>
      </c>
      <c r="D84">
        <f t="shared" ref="D84:Q84" si="2">SUM(D73:D75)-(D76+D77)+SUM(D66:D72)</f>
        <v>18461</v>
      </c>
      <c r="E84">
        <f t="shared" si="2"/>
        <v>18588</v>
      </c>
      <c r="F84">
        <f t="shared" si="2"/>
        <v>18567</v>
      </c>
      <c r="G84">
        <f t="shared" si="2"/>
        <v>18500</v>
      </c>
      <c r="H84">
        <f t="shared" si="2"/>
        <v>18432</v>
      </c>
      <c r="I84">
        <f t="shared" si="2"/>
        <v>18442</v>
      </c>
      <c r="J84">
        <f t="shared" si="2"/>
        <v>18496</v>
      </c>
      <c r="K84">
        <f t="shared" si="2"/>
        <v>18577</v>
      </c>
      <c r="L84">
        <f t="shared" si="2"/>
        <v>18812</v>
      </c>
      <c r="M84">
        <f t="shared" si="2"/>
        <v>19034</v>
      </c>
      <c r="N84">
        <f t="shared" si="2"/>
        <v>19200</v>
      </c>
      <c r="O84">
        <f t="shared" si="2"/>
        <v>19439</v>
      </c>
      <c r="P84">
        <f t="shared" si="2"/>
        <v>19822</v>
      </c>
      <c r="Q84">
        <f t="shared" si="2"/>
        <v>19895</v>
      </c>
    </row>
    <row r="85" spans="1:17" ht="48" x14ac:dyDescent="0.2">
      <c r="A85" s="8" t="s">
        <v>54</v>
      </c>
      <c r="B85" t="s">
        <v>50</v>
      </c>
      <c r="C85">
        <f>SUM(C62:C65)-SUM(C66:C72)</f>
        <v>20596</v>
      </c>
      <c r="D85">
        <f t="shared" ref="D85:Q85" si="3">SUM(D62:D65)-SUM(D66:D72)</f>
        <v>20473</v>
      </c>
      <c r="E85">
        <f t="shared" si="3"/>
        <v>20460</v>
      </c>
      <c r="F85">
        <f t="shared" si="3"/>
        <v>20355</v>
      </c>
      <c r="G85">
        <f t="shared" si="3"/>
        <v>20261</v>
      </c>
      <c r="H85">
        <f t="shared" si="3"/>
        <v>20170</v>
      </c>
      <c r="I85">
        <f t="shared" si="3"/>
        <v>20113</v>
      </c>
      <c r="J85">
        <f t="shared" si="3"/>
        <v>20162</v>
      </c>
      <c r="K85">
        <f t="shared" si="3"/>
        <v>20157</v>
      </c>
      <c r="L85">
        <f t="shared" si="3"/>
        <v>20203</v>
      </c>
      <c r="M85">
        <f t="shared" si="3"/>
        <v>20302</v>
      </c>
      <c r="N85">
        <f t="shared" si="3"/>
        <v>20511</v>
      </c>
      <c r="O85">
        <f t="shared" si="3"/>
        <v>20754</v>
      </c>
      <c r="P85">
        <f t="shared" si="3"/>
        <v>21086</v>
      </c>
      <c r="Q85">
        <f t="shared" si="3"/>
        <v>21132</v>
      </c>
    </row>
    <row r="86" spans="1:17" ht="16" x14ac:dyDescent="0.2">
      <c r="A86" s="8" t="s">
        <v>53</v>
      </c>
      <c r="B86" t="s">
        <v>51</v>
      </c>
      <c r="C86">
        <f>SUM(C76:C78)</f>
        <v>8419</v>
      </c>
      <c r="D86">
        <f t="shared" ref="D86:Q86" si="4">SUM(D76:D78)</f>
        <v>8386</v>
      </c>
      <c r="E86">
        <f t="shared" si="4"/>
        <v>8426</v>
      </c>
      <c r="F86">
        <f t="shared" si="4"/>
        <v>8376</v>
      </c>
      <c r="G86">
        <f t="shared" si="4"/>
        <v>8322</v>
      </c>
      <c r="H86">
        <f t="shared" si="4"/>
        <v>8288</v>
      </c>
      <c r="I86">
        <f t="shared" si="4"/>
        <v>8249</v>
      </c>
      <c r="J86">
        <f t="shared" si="4"/>
        <v>8203</v>
      </c>
      <c r="K86">
        <f t="shared" si="4"/>
        <v>8207</v>
      </c>
      <c r="L86">
        <f t="shared" si="4"/>
        <v>8222</v>
      </c>
      <c r="M86">
        <f t="shared" si="4"/>
        <v>8220</v>
      </c>
      <c r="N86">
        <f t="shared" si="4"/>
        <v>8319</v>
      </c>
      <c r="O86">
        <f t="shared" si="4"/>
        <v>8420</v>
      </c>
      <c r="P86">
        <f t="shared" si="4"/>
        <v>8573</v>
      </c>
      <c r="Q86">
        <f t="shared" si="4"/>
        <v>8599</v>
      </c>
    </row>
    <row r="87" spans="1:17" x14ac:dyDescent="0.2">
      <c r="A87" s="8"/>
    </row>
    <row r="89" spans="1:17" x14ac:dyDescent="0.2">
      <c r="A89" s="9" t="s">
        <v>46</v>
      </c>
      <c r="C89" s="3" t="s">
        <v>2</v>
      </c>
      <c r="D89" s="3" t="s">
        <v>3</v>
      </c>
      <c r="E89" s="3" t="s">
        <v>4</v>
      </c>
      <c r="F89" s="3" t="s">
        <v>5</v>
      </c>
      <c r="G89" s="3" t="s">
        <v>6</v>
      </c>
      <c r="H89" s="3" t="s">
        <v>7</v>
      </c>
      <c r="I89" s="3" t="s">
        <v>8</v>
      </c>
      <c r="J89" s="3" t="s">
        <v>9</v>
      </c>
      <c r="K89" s="3" t="s">
        <v>10</v>
      </c>
      <c r="L89" s="3" t="s">
        <v>11</v>
      </c>
      <c r="M89" s="3" t="s">
        <v>12</v>
      </c>
      <c r="N89" s="3" t="s">
        <v>13</v>
      </c>
      <c r="O89" s="3" t="s">
        <v>14</v>
      </c>
      <c r="P89" s="3" t="s">
        <v>15</v>
      </c>
      <c r="Q89" s="3" t="s">
        <v>16</v>
      </c>
    </row>
    <row r="90" spans="1:17" x14ac:dyDescent="0.2">
      <c r="A90" t="s">
        <v>56</v>
      </c>
      <c r="B90" t="s">
        <v>47</v>
      </c>
      <c r="C90">
        <f>SUM(C29:C32)+C36+SUM(C4:C7)+C11</f>
        <v>240766</v>
      </c>
      <c r="D90">
        <f t="shared" ref="D90:Q90" si="5">SUM(D29:D32)+D36+SUM(D4:D7)+D11</f>
        <v>241457</v>
      </c>
      <c r="E90">
        <f t="shared" si="5"/>
        <v>241854</v>
      </c>
      <c r="F90">
        <f t="shared" si="5"/>
        <v>242548</v>
      </c>
      <c r="G90">
        <f t="shared" si="5"/>
        <v>243690</v>
      </c>
      <c r="H90">
        <f t="shared" si="5"/>
        <v>244654</v>
      </c>
      <c r="I90">
        <f t="shared" si="5"/>
        <v>245710</v>
      </c>
      <c r="J90">
        <f t="shared" si="5"/>
        <v>246940</v>
      </c>
      <c r="K90">
        <f t="shared" si="5"/>
        <v>248096</v>
      </c>
      <c r="L90">
        <f t="shared" si="5"/>
        <v>250391</v>
      </c>
      <c r="M90">
        <f t="shared" si="5"/>
        <v>251612</v>
      </c>
      <c r="N90">
        <f t="shared" si="5"/>
        <v>252563</v>
      </c>
      <c r="O90">
        <f t="shared" si="5"/>
        <v>252866</v>
      </c>
      <c r="P90">
        <f t="shared" si="5"/>
        <v>254096</v>
      </c>
      <c r="Q90">
        <f t="shared" si="5"/>
        <v>255419</v>
      </c>
    </row>
    <row r="91" spans="1:17" x14ac:dyDescent="0.2">
      <c r="A91" t="s">
        <v>57</v>
      </c>
      <c r="B91" t="s">
        <v>48</v>
      </c>
      <c r="C91">
        <f>SUM(C33:C35)+SUM(C8:C10)</f>
        <v>227113</v>
      </c>
      <c r="D91">
        <f t="shared" ref="D91:Q91" si="6">SUM(D33:D35)+SUM(D8:D10)</f>
        <v>228003</v>
      </c>
      <c r="E91">
        <f t="shared" si="6"/>
        <v>228718</v>
      </c>
      <c r="F91">
        <f t="shared" si="6"/>
        <v>229308</v>
      </c>
      <c r="G91">
        <f t="shared" si="6"/>
        <v>230119</v>
      </c>
      <c r="H91">
        <f t="shared" si="6"/>
        <v>230688</v>
      </c>
      <c r="I91">
        <f t="shared" si="6"/>
        <v>231573</v>
      </c>
      <c r="J91">
        <f t="shared" si="6"/>
        <v>232771</v>
      </c>
      <c r="K91">
        <f t="shared" si="6"/>
        <v>234279</v>
      </c>
      <c r="L91">
        <f t="shared" si="6"/>
        <v>235626</v>
      </c>
      <c r="M91">
        <f t="shared" si="6"/>
        <v>237069</v>
      </c>
      <c r="N91">
        <f t="shared" si="6"/>
        <v>238532</v>
      </c>
      <c r="O91">
        <f t="shared" si="6"/>
        <v>240444</v>
      </c>
      <c r="P91">
        <f t="shared" si="6"/>
        <v>242627</v>
      </c>
      <c r="Q91">
        <f t="shared" si="6"/>
        <v>244424</v>
      </c>
    </row>
    <row r="92" spans="1:17" ht="48" x14ac:dyDescent="0.2">
      <c r="A92" s="8" t="s">
        <v>55</v>
      </c>
      <c r="B92" t="s">
        <v>49</v>
      </c>
      <c r="C92">
        <f>SUM(C48:C50)-(C51+C52)+SUM(C41:C47)+SUM(C23:C25)-SUM(C26:C27)+SUM(C16:C22)</f>
        <v>327785</v>
      </c>
      <c r="D92">
        <f t="shared" ref="D92:Q92" si="7">SUM(D48:D50)-(D51+D52)+SUM(D41:D47)+SUM(D23:D25)-SUM(D26:D27)+SUM(D16:D22)</f>
        <v>329118</v>
      </c>
      <c r="E92">
        <f t="shared" si="7"/>
        <v>330099</v>
      </c>
      <c r="F92">
        <f t="shared" si="7"/>
        <v>331176</v>
      </c>
      <c r="G92">
        <f t="shared" si="7"/>
        <v>332337</v>
      </c>
      <c r="H92">
        <f t="shared" si="7"/>
        <v>334125</v>
      </c>
      <c r="I92">
        <f t="shared" si="7"/>
        <v>337003</v>
      </c>
      <c r="J92">
        <f t="shared" si="7"/>
        <v>339932</v>
      </c>
      <c r="K92">
        <f t="shared" si="7"/>
        <v>342685</v>
      </c>
      <c r="L92">
        <f t="shared" si="7"/>
        <v>345336</v>
      </c>
      <c r="M92">
        <f t="shared" si="7"/>
        <v>347763</v>
      </c>
      <c r="N92">
        <f t="shared" si="7"/>
        <v>349986</v>
      </c>
      <c r="O92">
        <f t="shared" si="7"/>
        <v>352324</v>
      </c>
      <c r="P92">
        <f t="shared" si="7"/>
        <v>355583</v>
      </c>
      <c r="Q92">
        <f t="shared" si="7"/>
        <v>358330</v>
      </c>
    </row>
    <row r="93" spans="1:17" ht="48" x14ac:dyDescent="0.2">
      <c r="A93" s="8" t="s">
        <v>54</v>
      </c>
      <c r="B93" t="s">
        <v>50</v>
      </c>
      <c r="C93">
        <f>SUM(C37:C40)-SUM(C41:C47)-SUM(C16:C22)+SUM(C12:C15)</f>
        <v>337600</v>
      </c>
      <c r="D93">
        <f t="shared" ref="D93:Q93" si="8">SUM(D37:D40)-SUM(D41:D47)-SUM(D16:D22)+SUM(D12:D15)</f>
        <v>339042</v>
      </c>
      <c r="E93">
        <f t="shared" si="8"/>
        <v>340022</v>
      </c>
      <c r="F93">
        <f t="shared" si="8"/>
        <v>341242</v>
      </c>
      <c r="G93">
        <f t="shared" si="8"/>
        <v>342466</v>
      </c>
      <c r="H93">
        <f t="shared" si="8"/>
        <v>344012</v>
      </c>
      <c r="I93">
        <f t="shared" si="8"/>
        <v>346121</v>
      </c>
      <c r="J93">
        <f t="shared" si="8"/>
        <v>348607</v>
      </c>
      <c r="K93">
        <f t="shared" si="8"/>
        <v>350894</v>
      </c>
      <c r="L93">
        <f t="shared" si="8"/>
        <v>352598</v>
      </c>
      <c r="M93">
        <f t="shared" si="8"/>
        <v>354371</v>
      </c>
      <c r="N93">
        <f t="shared" si="8"/>
        <v>355867</v>
      </c>
      <c r="O93">
        <f t="shared" si="8"/>
        <v>357728</v>
      </c>
      <c r="P93">
        <f t="shared" si="8"/>
        <v>360175</v>
      </c>
      <c r="Q93">
        <f t="shared" si="8"/>
        <v>362279</v>
      </c>
    </row>
    <row r="94" spans="1:17" ht="16" x14ac:dyDescent="0.2">
      <c r="A94" s="8" t="s">
        <v>53</v>
      </c>
      <c r="B94" t="s">
        <v>51</v>
      </c>
      <c r="C94">
        <f>SUM(C51:C53)+SUM(C26:C28)</f>
        <v>161906</v>
      </c>
      <c r="D94">
        <f t="shared" ref="D94:Q94" si="9">SUM(D51:D53)+SUM(D26:D28)</f>
        <v>162141</v>
      </c>
      <c r="E94">
        <f t="shared" si="9"/>
        <v>162472</v>
      </c>
      <c r="F94">
        <f t="shared" si="9"/>
        <v>162715</v>
      </c>
      <c r="G94">
        <f t="shared" si="9"/>
        <v>163031</v>
      </c>
      <c r="H94">
        <f t="shared" si="9"/>
        <v>163350</v>
      </c>
      <c r="I94">
        <f t="shared" si="9"/>
        <v>163998</v>
      </c>
      <c r="J94">
        <f t="shared" si="9"/>
        <v>164872</v>
      </c>
      <c r="K94">
        <f t="shared" si="9"/>
        <v>165625</v>
      </c>
      <c r="L94">
        <f t="shared" si="9"/>
        <v>166455</v>
      </c>
      <c r="M94">
        <f t="shared" si="9"/>
        <v>167150</v>
      </c>
      <c r="N94">
        <f t="shared" si="9"/>
        <v>167762</v>
      </c>
      <c r="O94">
        <f t="shared" si="9"/>
        <v>168652</v>
      </c>
      <c r="P94">
        <f t="shared" si="9"/>
        <v>169715</v>
      </c>
      <c r="Q94">
        <f t="shared" si="9"/>
        <v>170251</v>
      </c>
    </row>
    <row r="97" spans="1:17" x14ac:dyDescent="0.2">
      <c r="A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100" spans="1:17" x14ac:dyDescent="0.2">
      <c r="A100" s="8"/>
    </row>
    <row r="101" spans="1:17" x14ac:dyDescent="0.2">
      <c r="A101" s="8"/>
    </row>
    <row r="102" spans="1:17" x14ac:dyDescent="0.2">
      <c r="A102" s="8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2026-05-08T08:24:44Z</dcterms:created>
  <dcterms:modified xsi:type="dcterms:W3CDTF">2026-05-08T12:27:23Z</dcterms:modified>
</cp:coreProperties>
</file>