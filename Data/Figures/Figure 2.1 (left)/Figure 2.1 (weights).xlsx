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wohlert/Desktop/"/>
    </mc:Choice>
  </mc:AlternateContent>
  <xr:revisionPtr revIDLastSave="0" documentId="8_{07707D70-B04B-7049-ADAB-5C7913A81FA7}" xr6:coauthVersionLast="47" xr6:coauthVersionMax="47" xr10:uidLastSave="{00000000-0000-0000-0000-000000000000}"/>
  <bookViews>
    <workbookView xWindow="-4560" yWindow="-21600" windowWidth="38400" windowHeight="21600" xr2:uid="{ADDF80E5-4A2E-4043-AD32-6806F7E880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48" i="1" l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K51" i="1"/>
  <c r="S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J52" i="1"/>
  <c r="K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C32" i="1"/>
  <c r="C48" i="1" s="1"/>
  <c r="D32" i="1"/>
  <c r="D48" i="1" s="1"/>
  <c r="E32" i="1"/>
  <c r="E48" i="1" s="1"/>
  <c r="F32" i="1"/>
  <c r="G32" i="1"/>
  <c r="H32" i="1"/>
  <c r="I32" i="1"/>
  <c r="J32" i="1"/>
  <c r="J48" i="1" s="1"/>
  <c r="K32" i="1"/>
  <c r="K48" i="1" s="1"/>
  <c r="L32" i="1"/>
  <c r="L48" i="1" s="1"/>
  <c r="M32" i="1"/>
  <c r="M48" i="1" s="1"/>
  <c r="N32" i="1"/>
  <c r="O32" i="1"/>
  <c r="P32" i="1"/>
  <c r="Q32" i="1"/>
  <c r="R32" i="1"/>
  <c r="R48" i="1" s="1"/>
  <c r="S32" i="1"/>
  <c r="S48" i="1" s="1"/>
  <c r="C33" i="1"/>
  <c r="C49" i="1" s="1"/>
  <c r="D33" i="1"/>
  <c r="D49" i="1" s="1"/>
  <c r="E33" i="1"/>
  <c r="F33" i="1"/>
  <c r="G33" i="1"/>
  <c r="H33" i="1"/>
  <c r="I33" i="1"/>
  <c r="I49" i="1" s="1"/>
  <c r="J33" i="1"/>
  <c r="J49" i="1" s="1"/>
  <c r="K33" i="1"/>
  <c r="K49" i="1" s="1"/>
  <c r="L33" i="1"/>
  <c r="L49" i="1" s="1"/>
  <c r="M33" i="1"/>
  <c r="N33" i="1"/>
  <c r="O33" i="1"/>
  <c r="P33" i="1"/>
  <c r="Q33" i="1"/>
  <c r="Q49" i="1" s="1"/>
  <c r="R33" i="1"/>
  <c r="R49" i="1" s="1"/>
  <c r="S33" i="1"/>
  <c r="S49" i="1" s="1"/>
  <c r="C34" i="1"/>
  <c r="C50" i="1" s="1"/>
  <c r="D34" i="1"/>
  <c r="E34" i="1"/>
  <c r="F34" i="1"/>
  <c r="G34" i="1"/>
  <c r="H34" i="1"/>
  <c r="H50" i="1" s="1"/>
  <c r="I34" i="1"/>
  <c r="I50" i="1" s="1"/>
  <c r="J34" i="1"/>
  <c r="K34" i="1"/>
  <c r="L34" i="1"/>
  <c r="M34" i="1"/>
  <c r="N34" i="1"/>
  <c r="O34" i="1"/>
  <c r="P34" i="1"/>
  <c r="P50" i="1" s="1"/>
  <c r="Q34" i="1"/>
  <c r="Q50" i="1" s="1"/>
  <c r="R34" i="1"/>
  <c r="S34" i="1"/>
  <c r="C35" i="1"/>
  <c r="D35" i="1"/>
  <c r="E35" i="1"/>
  <c r="F35" i="1"/>
  <c r="G35" i="1"/>
  <c r="G51" i="1" s="1"/>
  <c r="H35" i="1"/>
  <c r="H51" i="1" s="1"/>
  <c r="I35" i="1"/>
  <c r="I51" i="1" s="1"/>
  <c r="J35" i="1"/>
  <c r="K35" i="1"/>
  <c r="L35" i="1"/>
  <c r="M35" i="1"/>
  <c r="N35" i="1"/>
  <c r="O35" i="1"/>
  <c r="O51" i="1" s="1"/>
  <c r="P35" i="1"/>
  <c r="P51" i="1" s="1"/>
  <c r="Q35" i="1"/>
  <c r="Q51" i="1" s="1"/>
  <c r="R35" i="1"/>
  <c r="S35" i="1"/>
  <c r="C36" i="1"/>
  <c r="D36" i="1"/>
  <c r="E36" i="1"/>
  <c r="F36" i="1"/>
  <c r="F52" i="1" s="1"/>
  <c r="G36" i="1"/>
  <c r="G52" i="1" s="1"/>
  <c r="H36" i="1"/>
  <c r="H52" i="1" s="1"/>
  <c r="I36" i="1"/>
  <c r="I52" i="1" s="1"/>
  <c r="J36" i="1"/>
  <c r="K36" i="1"/>
  <c r="L36" i="1"/>
  <c r="M36" i="1"/>
  <c r="N36" i="1"/>
  <c r="N52" i="1" s="1"/>
  <c r="O36" i="1"/>
  <c r="O52" i="1" s="1"/>
  <c r="P36" i="1"/>
  <c r="P52" i="1" s="1"/>
  <c r="Q36" i="1"/>
  <c r="Q52" i="1" s="1"/>
  <c r="R36" i="1"/>
  <c r="R52" i="1" s="1"/>
  <c r="S36" i="1"/>
  <c r="S52" i="1" s="1"/>
  <c r="T39" i="1"/>
  <c r="T40" i="1"/>
  <c r="T41" i="1"/>
  <c r="T42" i="1"/>
  <c r="T38" i="1"/>
  <c r="T33" i="1"/>
  <c r="T32" i="1"/>
  <c r="T34" i="1"/>
  <c r="T35" i="1"/>
  <c r="T36" i="1"/>
  <c r="M52" i="1" l="1"/>
  <c r="O50" i="1"/>
  <c r="Q48" i="1"/>
  <c r="T51" i="1"/>
  <c r="L52" i="1"/>
  <c r="D52" i="1"/>
  <c r="M51" i="1"/>
  <c r="E51" i="1"/>
  <c r="N50" i="1"/>
  <c r="F50" i="1"/>
  <c r="O49" i="1"/>
  <c r="G49" i="1"/>
  <c r="P48" i="1"/>
  <c r="H48" i="1"/>
  <c r="R51" i="1"/>
  <c r="J51" i="1"/>
  <c r="S50" i="1"/>
  <c r="K50" i="1"/>
  <c r="T52" i="1"/>
  <c r="F51" i="1"/>
  <c r="I48" i="1"/>
  <c r="L51" i="1"/>
  <c r="E50" i="1"/>
  <c r="O48" i="1"/>
  <c r="G48" i="1"/>
  <c r="R50" i="1"/>
  <c r="J50" i="1"/>
  <c r="N51" i="1"/>
  <c r="P49" i="1"/>
  <c r="C52" i="1"/>
  <c r="M50" i="1"/>
  <c r="F49" i="1"/>
  <c r="C51" i="1"/>
  <c r="D50" i="1"/>
  <c r="E49" i="1"/>
  <c r="N48" i="1"/>
  <c r="F48" i="1"/>
  <c r="E52" i="1"/>
  <c r="G50" i="1"/>
  <c r="H49" i="1"/>
  <c r="T50" i="1"/>
  <c r="D51" i="1"/>
  <c r="N49" i="1"/>
  <c r="T48" i="1"/>
  <c r="L50" i="1"/>
  <c r="M49" i="1"/>
  <c r="T49" i="1"/>
</calcChain>
</file>

<file path=xl/sharedStrings.xml><?xml version="1.0" encoding="utf-8"?>
<sst xmlns="http://schemas.openxmlformats.org/spreadsheetml/2006/main" count="141" uniqueCount="46">
  <si>
    <t>Capital Region</t>
  </si>
  <si>
    <t>Zealand Region</t>
  </si>
  <si>
    <t>Central Denmark</t>
  </si>
  <si>
    <t>Sourthern Denmark</t>
  </si>
  <si>
    <t>North Denmark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</si>
  <si>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</si>
  <si>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</si>
  <si>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</si>
  <si>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</si>
  <si>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</si>
  <si>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</si>
  <si>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</si>
  <si>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</si>
  <si>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</si>
  <si>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</si>
  <si>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</si>
  <si>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</si>
  <si>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</si>
  <si>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</si>
  <si>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</si>
  <si>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BYGB1</t>
  </si>
  <si>
    <t>Single family homes</t>
  </si>
  <si>
    <t>Apartments</t>
  </si>
  <si>
    <t>2007</t>
  </si>
  <si>
    <t>2008</t>
  </si>
  <si>
    <t>2009</t>
  </si>
  <si>
    <t>2010</t>
  </si>
  <si>
    <t>2011</t>
  </si>
  <si>
    <t>2012</t>
  </si>
  <si>
    <t>2013</t>
  </si>
  <si>
    <t>2014</t>
  </si>
  <si>
    <t>BYGB11</t>
  </si>
  <si>
    <t>2015</t>
  </si>
  <si>
    <t>2016</t>
  </si>
  <si>
    <t>2017</t>
  </si>
  <si>
    <t>2018</t>
  </si>
  <si>
    <t>2019</t>
  </si>
  <si>
    <t>2020</t>
  </si>
  <si>
    <t>2023</t>
  </si>
  <si>
    <t>2024</t>
  </si>
  <si>
    <t>2025</t>
  </si>
  <si>
    <t>2026</t>
  </si>
  <si>
    <t>BOL101</t>
  </si>
  <si>
    <t>Original</t>
  </si>
  <si>
    <t>Interpolated</t>
  </si>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</sst>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25F7-6D8A-1948-8627-01997C236716}">
  <dimension ref="A3:AI52"/>
  <sheetViews>
    <sheetView tabSelected="1" topLeftCell="A12" workbookViewId="0">
      <selection activeCell="A27" sqref="A27:XFD28"/>
    </sheetView>
  </sheetViews>
  <sheetFormatPr baseColWidth="10" defaultRowHeight="16" x14ac:dyDescent="0.2"/>
  <sheetData>
    <row r="3" spans="1:35" ht="16" customHeight="1" x14ac:dyDescent="0.2">
      <c r="A3" s="6" t="s">
        <v>43</v>
      </c>
      <c r="B3" s="6"/>
      <c r="C3" s="3" t="s">
        <v>20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 t="s">
        <v>31</v>
      </c>
      <c r="S3" s="4"/>
      <c r="T3" s="4"/>
      <c r="U3" s="3" t="s">
        <v>42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ht="16" customHeight="1" x14ac:dyDescent="0.2">
      <c r="A4" s="6"/>
      <c r="B4" s="6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  <c r="S4" s="4"/>
      <c r="T4" s="4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x14ac:dyDescent="0.2">
      <c r="A5" s="2" t="s">
        <v>21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32</v>
      </c>
      <c r="AA5" s="1" t="s">
        <v>33</v>
      </c>
      <c r="AB5" s="1" t="s">
        <v>34</v>
      </c>
      <c r="AC5" s="1" t="s">
        <v>35</v>
      </c>
      <c r="AD5" s="1" t="s">
        <v>36</v>
      </c>
      <c r="AE5" s="1" t="s">
        <v>37</v>
      </c>
      <c r="AF5" s="1" t="s">
        <v>38</v>
      </c>
      <c r="AG5" s="1" t="s">
        <v>39</v>
      </c>
      <c r="AH5" s="1" t="s">
        <v>40</v>
      </c>
      <c r="AI5" s="1" t="s">
        <v>41</v>
      </c>
    </row>
    <row r="6" spans="1:35" x14ac:dyDescent="0.2">
      <c r="B6" t="s">
        <v>0</v>
      </c>
      <c r="C6">
        <v>240766</v>
      </c>
      <c r="D6">
        <v>241457</v>
      </c>
      <c r="E6">
        <v>241854</v>
      </c>
      <c r="F6">
        <v>242548</v>
      </c>
      <c r="G6">
        <v>243690</v>
      </c>
      <c r="H6">
        <v>244654</v>
      </c>
      <c r="I6">
        <v>245710</v>
      </c>
      <c r="J6">
        <v>246940</v>
      </c>
      <c r="K6">
        <v>248096</v>
      </c>
      <c r="L6">
        <v>250391</v>
      </c>
      <c r="M6">
        <v>251612</v>
      </c>
      <c r="N6">
        <v>252563</v>
      </c>
      <c r="O6">
        <v>252866</v>
      </c>
      <c r="P6">
        <v>254096</v>
      </c>
      <c r="Q6">
        <v>255419</v>
      </c>
      <c r="R6">
        <v>257306</v>
      </c>
      <c r="S6">
        <v>259444</v>
      </c>
      <c r="T6">
        <v>261209</v>
      </c>
      <c r="U6">
        <v>297428</v>
      </c>
      <c r="V6">
        <v>298217</v>
      </c>
      <c r="W6">
        <v>299050</v>
      </c>
      <c r="X6">
        <v>300092</v>
      </c>
      <c r="Y6">
        <v>301167</v>
      </c>
      <c r="Z6">
        <v>302143</v>
      </c>
      <c r="AA6">
        <v>303842</v>
      </c>
      <c r="AB6">
        <v>305266</v>
      </c>
      <c r="AC6">
        <v>306670</v>
      </c>
      <c r="AD6">
        <v>307976</v>
      </c>
      <c r="AE6">
        <v>309632</v>
      </c>
      <c r="AF6">
        <v>313527</v>
      </c>
      <c r="AG6">
        <v>315537</v>
      </c>
      <c r="AH6">
        <v>316761</v>
      </c>
      <c r="AI6">
        <v>317697</v>
      </c>
    </row>
    <row r="7" spans="1:35" x14ac:dyDescent="0.2">
      <c r="B7" t="s">
        <v>1</v>
      </c>
      <c r="C7">
        <v>227113</v>
      </c>
      <c r="D7">
        <v>228003</v>
      </c>
      <c r="E7">
        <v>228718</v>
      </c>
      <c r="F7">
        <v>229308</v>
      </c>
      <c r="G7">
        <v>230119</v>
      </c>
      <c r="H7">
        <v>230688</v>
      </c>
      <c r="I7">
        <v>231573</v>
      </c>
      <c r="J7">
        <v>232771</v>
      </c>
      <c r="K7">
        <v>234279</v>
      </c>
      <c r="L7">
        <v>235626</v>
      </c>
      <c r="M7">
        <v>237069</v>
      </c>
      <c r="N7">
        <v>238532</v>
      </c>
      <c r="O7">
        <v>240444</v>
      </c>
      <c r="P7">
        <v>242627</v>
      </c>
      <c r="Q7">
        <v>244424</v>
      </c>
      <c r="R7">
        <v>246262</v>
      </c>
      <c r="S7">
        <v>248743</v>
      </c>
      <c r="T7">
        <v>250973</v>
      </c>
      <c r="U7">
        <v>281519</v>
      </c>
      <c r="V7">
        <v>283107</v>
      </c>
      <c r="W7">
        <v>284143</v>
      </c>
      <c r="X7">
        <v>284875</v>
      </c>
      <c r="Y7">
        <v>285772</v>
      </c>
      <c r="Z7">
        <v>286296</v>
      </c>
      <c r="AA7">
        <v>287079</v>
      </c>
      <c r="AB7">
        <v>288259</v>
      </c>
      <c r="AC7">
        <v>289067</v>
      </c>
      <c r="AD7">
        <v>289933</v>
      </c>
      <c r="AE7">
        <v>291346</v>
      </c>
      <c r="AF7">
        <v>296605</v>
      </c>
      <c r="AG7">
        <v>298460</v>
      </c>
      <c r="AH7">
        <v>300160</v>
      </c>
      <c r="AI7">
        <v>301748</v>
      </c>
    </row>
    <row r="8" spans="1:35" x14ac:dyDescent="0.2">
      <c r="B8" t="s">
        <v>2</v>
      </c>
      <c r="C8">
        <v>327785</v>
      </c>
      <c r="D8">
        <v>329118</v>
      </c>
      <c r="E8">
        <v>330099</v>
      </c>
      <c r="F8">
        <v>331176</v>
      </c>
      <c r="G8">
        <v>332337</v>
      </c>
      <c r="H8">
        <v>334125</v>
      </c>
      <c r="I8">
        <v>337003</v>
      </c>
      <c r="J8">
        <v>339932</v>
      </c>
      <c r="K8">
        <v>342685</v>
      </c>
      <c r="L8">
        <v>345336</v>
      </c>
      <c r="M8">
        <v>347763</v>
      </c>
      <c r="N8">
        <v>349986</v>
      </c>
      <c r="O8">
        <v>352324</v>
      </c>
      <c r="P8">
        <v>355583</v>
      </c>
      <c r="Q8">
        <v>358330</v>
      </c>
      <c r="R8">
        <v>364999</v>
      </c>
      <c r="S8">
        <v>368730</v>
      </c>
      <c r="T8">
        <v>371894</v>
      </c>
      <c r="U8">
        <v>414485</v>
      </c>
      <c r="V8">
        <v>417034</v>
      </c>
      <c r="W8">
        <v>418660</v>
      </c>
      <c r="X8">
        <v>420584</v>
      </c>
      <c r="Y8">
        <v>421958</v>
      </c>
      <c r="Z8">
        <v>422871</v>
      </c>
      <c r="AA8">
        <v>424201</v>
      </c>
      <c r="AB8">
        <v>425493</v>
      </c>
      <c r="AC8">
        <v>427212</v>
      </c>
      <c r="AD8">
        <v>428725</v>
      </c>
      <c r="AE8">
        <v>431076</v>
      </c>
      <c r="AF8">
        <v>438657</v>
      </c>
      <c r="AG8">
        <v>441418</v>
      </c>
      <c r="AH8">
        <v>443355</v>
      </c>
      <c r="AI8">
        <v>445066</v>
      </c>
    </row>
    <row r="9" spans="1:35" x14ac:dyDescent="0.2">
      <c r="B9" t="s">
        <v>3</v>
      </c>
      <c r="C9">
        <v>337600</v>
      </c>
      <c r="D9">
        <v>339042</v>
      </c>
      <c r="E9">
        <v>340022</v>
      </c>
      <c r="F9">
        <v>341242</v>
      </c>
      <c r="G9">
        <v>342466</v>
      </c>
      <c r="H9">
        <v>344012</v>
      </c>
      <c r="I9">
        <v>346121</v>
      </c>
      <c r="J9">
        <v>348607</v>
      </c>
      <c r="K9">
        <v>350894</v>
      </c>
      <c r="L9">
        <v>352598</v>
      </c>
      <c r="M9">
        <v>354371</v>
      </c>
      <c r="N9">
        <v>355867</v>
      </c>
      <c r="O9">
        <v>357728</v>
      </c>
      <c r="P9">
        <v>360175</v>
      </c>
      <c r="Q9">
        <v>362279</v>
      </c>
      <c r="R9">
        <v>349000</v>
      </c>
      <c r="S9">
        <v>353069</v>
      </c>
      <c r="T9">
        <v>357502</v>
      </c>
      <c r="U9">
        <v>389660</v>
      </c>
      <c r="V9">
        <v>391826</v>
      </c>
      <c r="W9">
        <v>394590</v>
      </c>
      <c r="X9">
        <v>396890</v>
      </c>
      <c r="Y9">
        <v>399883</v>
      </c>
      <c r="Z9">
        <v>401760</v>
      </c>
      <c r="AA9">
        <v>404051</v>
      </c>
      <c r="AB9">
        <v>406859</v>
      </c>
      <c r="AC9">
        <v>409518</v>
      </c>
      <c r="AD9">
        <v>411482</v>
      </c>
      <c r="AE9">
        <v>416381</v>
      </c>
      <c r="AF9">
        <v>428752</v>
      </c>
      <c r="AG9">
        <v>431901</v>
      </c>
      <c r="AH9">
        <v>433681</v>
      </c>
      <c r="AI9">
        <v>435654</v>
      </c>
    </row>
    <row r="10" spans="1:35" x14ac:dyDescent="0.2">
      <c r="B10" t="s">
        <v>4</v>
      </c>
      <c r="C10">
        <v>161906</v>
      </c>
      <c r="D10">
        <v>162141</v>
      </c>
      <c r="E10">
        <v>162472</v>
      </c>
      <c r="F10">
        <v>162715</v>
      </c>
      <c r="G10">
        <v>163031</v>
      </c>
      <c r="H10">
        <v>163350</v>
      </c>
      <c r="I10">
        <v>163998</v>
      </c>
      <c r="J10">
        <v>164872</v>
      </c>
      <c r="K10">
        <v>165625</v>
      </c>
      <c r="L10">
        <v>166455</v>
      </c>
      <c r="M10">
        <v>167150</v>
      </c>
      <c r="N10">
        <v>167762</v>
      </c>
      <c r="O10">
        <v>168652</v>
      </c>
      <c r="P10">
        <v>169715</v>
      </c>
      <c r="Q10">
        <v>170251</v>
      </c>
      <c r="R10">
        <v>182857</v>
      </c>
      <c r="S10">
        <v>184418</v>
      </c>
      <c r="T10">
        <v>185831</v>
      </c>
      <c r="U10">
        <v>205889</v>
      </c>
      <c r="V10">
        <v>206616</v>
      </c>
      <c r="W10">
        <v>207277</v>
      </c>
      <c r="X10">
        <v>207867</v>
      </c>
      <c r="Y10">
        <v>208409</v>
      </c>
      <c r="Z10">
        <v>208786</v>
      </c>
      <c r="AA10">
        <v>209305</v>
      </c>
      <c r="AB10">
        <v>209799</v>
      </c>
      <c r="AC10">
        <v>210337</v>
      </c>
      <c r="AD10">
        <v>211341</v>
      </c>
      <c r="AE10">
        <v>212184</v>
      </c>
      <c r="AF10">
        <v>215527</v>
      </c>
      <c r="AG10">
        <v>216659</v>
      </c>
      <c r="AH10">
        <v>217932</v>
      </c>
      <c r="AI10">
        <v>218467</v>
      </c>
    </row>
    <row r="11" spans="1:35" x14ac:dyDescent="0.2">
      <c r="U11" s="5">
        <v>262241</v>
      </c>
    </row>
    <row r="12" spans="1:35" x14ac:dyDescent="0.2">
      <c r="U12" s="5">
        <v>251930</v>
      </c>
    </row>
    <row r="13" spans="1:35" x14ac:dyDescent="0.2">
      <c r="U13" s="5">
        <v>373608</v>
      </c>
    </row>
    <row r="14" spans="1:35" x14ac:dyDescent="0.2">
      <c r="U14" s="5">
        <v>359935</v>
      </c>
    </row>
    <row r="15" spans="1:35" x14ac:dyDescent="0.2">
      <c r="U15" s="5">
        <v>186731</v>
      </c>
    </row>
    <row r="16" spans="1:35" x14ac:dyDescent="0.2">
      <c r="A16" s="2" t="s">
        <v>22</v>
      </c>
    </row>
    <row r="17" spans="1:35" x14ac:dyDescent="0.2">
      <c r="B17" t="s">
        <v>0</v>
      </c>
      <c r="C17">
        <v>27920</v>
      </c>
      <c r="D17">
        <v>27818</v>
      </c>
      <c r="E17">
        <v>27804</v>
      </c>
      <c r="F17">
        <v>27733</v>
      </c>
      <c r="G17">
        <v>27687</v>
      </c>
      <c r="H17">
        <v>27631</v>
      </c>
      <c r="I17">
        <v>27487</v>
      </c>
      <c r="J17">
        <v>27425</v>
      </c>
      <c r="K17">
        <v>27392</v>
      </c>
      <c r="L17">
        <v>27344</v>
      </c>
      <c r="M17">
        <v>27344</v>
      </c>
      <c r="N17">
        <v>27412</v>
      </c>
      <c r="O17">
        <v>27472</v>
      </c>
      <c r="P17">
        <v>27746</v>
      </c>
      <c r="Q17">
        <v>27811</v>
      </c>
      <c r="R17">
        <v>27992</v>
      </c>
      <c r="S17">
        <v>28192</v>
      </c>
      <c r="T17">
        <v>28290</v>
      </c>
      <c r="U17">
        <v>519254</v>
      </c>
      <c r="V17">
        <v>521671</v>
      </c>
      <c r="W17">
        <v>523345</v>
      </c>
      <c r="X17">
        <v>524528</v>
      </c>
      <c r="Y17">
        <v>527892</v>
      </c>
      <c r="Z17">
        <v>530688</v>
      </c>
      <c r="AA17">
        <v>533113</v>
      </c>
      <c r="AB17">
        <v>537483</v>
      </c>
      <c r="AC17">
        <v>543862</v>
      </c>
      <c r="AD17">
        <v>551649</v>
      </c>
      <c r="AE17">
        <v>559436</v>
      </c>
      <c r="AF17">
        <v>584507</v>
      </c>
      <c r="AG17">
        <v>592131</v>
      </c>
      <c r="AH17">
        <v>599332</v>
      </c>
      <c r="AI17">
        <v>603736</v>
      </c>
    </row>
    <row r="18" spans="1:35" x14ac:dyDescent="0.2">
      <c r="B18" t="s">
        <v>1</v>
      </c>
      <c r="C18">
        <v>10093</v>
      </c>
      <c r="D18">
        <v>9995</v>
      </c>
      <c r="E18">
        <v>10076</v>
      </c>
      <c r="F18">
        <v>10034</v>
      </c>
      <c r="G18">
        <v>9956</v>
      </c>
      <c r="H18">
        <v>9878</v>
      </c>
      <c r="I18">
        <v>9834</v>
      </c>
      <c r="J18">
        <v>9774</v>
      </c>
      <c r="K18">
        <v>9746</v>
      </c>
      <c r="L18">
        <v>9784</v>
      </c>
      <c r="M18">
        <v>9800</v>
      </c>
      <c r="N18">
        <v>9852</v>
      </c>
      <c r="O18">
        <v>9875</v>
      </c>
      <c r="P18">
        <v>10126</v>
      </c>
      <c r="Q18">
        <v>10193</v>
      </c>
      <c r="R18">
        <v>10278</v>
      </c>
      <c r="S18">
        <v>10380</v>
      </c>
      <c r="T18">
        <v>10437</v>
      </c>
      <c r="U18">
        <v>100004</v>
      </c>
      <c r="V18">
        <v>100946</v>
      </c>
      <c r="W18">
        <v>101262</v>
      </c>
      <c r="X18">
        <v>101786</v>
      </c>
      <c r="Y18">
        <v>102364</v>
      </c>
      <c r="Z18">
        <v>102522</v>
      </c>
      <c r="AA18">
        <v>102750</v>
      </c>
      <c r="AB18">
        <v>103251</v>
      </c>
      <c r="AC18">
        <v>104074</v>
      </c>
      <c r="AD18">
        <v>104797</v>
      </c>
      <c r="AE18">
        <v>106131</v>
      </c>
      <c r="AF18">
        <v>111287</v>
      </c>
      <c r="AG18">
        <v>113036</v>
      </c>
      <c r="AH18">
        <v>115613</v>
      </c>
      <c r="AI18">
        <v>116505</v>
      </c>
    </row>
    <row r="19" spans="1:35" x14ac:dyDescent="0.2">
      <c r="B19" t="s">
        <v>2</v>
      </c>
      <c r="C19">
        <v>18503</v>
      </c>
      <c r="D19">
        <v>18461</v>
      </c>
      <c r="E19">
        <v>18588</v>
      </c>
      <c r="F19">
        <v>18567</v>
      </c>
      <c r="G19">
        <v>18500</v>
      </c>
      <c r="H19">
        <v>18432</v>
      </c>
      <c r="I19">
        <v>18442</v>
      </c>
      <c r="J19">
        <v>18496</v>
      </c>
      <c r="K19">
        <v>18577</v>
      </c>
      <c r="L19">
        <v>18812</v>
      </c>
      <c r="M19">
        <v>19034</v>
      </c>
      <c r="N19">
        <v>19200</v>
      </c>
      <c r="O19">
        <v>19439</v>
      </c>
      <c r="P19">
        <v>19822</v>
      </c>
      <c r="Q19">
        <v>19895</v>
      </c>
      <c r="R19">
        <v>21176</v>
      </c>
      <c r="S19">
        <v>21222</v>
      </c>
      <c r="T19">
        <v>21241</v>
      </c>
      <c r="U19">
        <v>160837</v>
      </c>
      <c r="V19">
        <v>161982</v>
      </c>
      <c r="W19">
        <v>162360</v>
      </c>
      <c r="X19">
        <v>163566</v>
      </c>
      <c r="Y19">
        <v>164583</v>
      </c>
      <c r="Z19">
        <v>165012</v>
      </c>
      <c r="AA19">
        <v>165464</v>
      </c>
      <c r="AB19">
        <v>166817</v>
      </c>
      <c r="AC19">
        <v>168463</v>
      </c>
      <c r="AD19">
        <v>170336</v>
      </c>
      <c r="AE19">
        <v>173564</v>
      </c>
      <c r="AF19">
        <v>181100</v>
      </c>
      <c r="AG19">
        <v>183911</v>
      </c>
      <c r="AH19">
        <v>185930</v>
      </c>
      <c r="AI19">
        <v>187548</v>
      </c>
    </row>
    <row r="20" spans="1:35" x14ac:dyDescent="0.2">
      <c r="B20" t="s">
        <v>3</v>
      </c>
      <c r="C20">
        <v>20596</v>
      </c>
      <c r="D20">
        <v>20473</v>
      </c>
      <c r="E20">
        <v>20460</v>
      </c>
      <c r="F20">
        <v>20355</v>
      </c>
      <c r="G20">
        <v>20261</v>
      </c>
      <c r="H20">
        <v>20170</v>
      </c>
      <c r="I20">
        <v>20113</v>
      </c>
      <c r="J20">
        <v>20162</v>
      </c>
      <c r="K20">
        <v>20157</v>
      </c>
      <c r="L20">
        <v>20203</v>
      </c>
      <c r="M20">
        <v>20302</v>
      </c>
      <c r="N20">
        <v>20511</v>
      </c>
      <c r="O20">
        <v>20754</v>
      </c>
      <c r="P20">
        <v>21086</v>
      </c>
      <c r="Q20">
        <v>21132</v>
      </c>
      <c r="R20">
        <v>19692</v>
      </c>
      <c r="S20">
        <v>19889</v>
      </c>
      <c r="T20">
        <v>20016</v>
      </c>
      <c r="U20">
        <v>191899</v>
      </c>
      <c r="V20">
        <v>193636</v>
      </c>
      <c r="W20">
        <v>195021</v>
      </c>
      <c r="X20">
        <v>197784</v>
      </c>
      <c r="Y20">
        <v>200316</v>
      </c>
      <c r="Z20">
        <v>201279</v>
      </c>
      <c r="AA20">
        <v>203181</v>
      </c>
      <c r="AB20">
        <v>205104</v>
      </c>
      <c r="AC20">
        <v>208743</v>
      </c>
      <c r="AD20">
        <v>212100</v>
      </c>
      <c r="AE20">
        <v>215349</v>
      </c>
      <c r="AF20">
        <v>232695</v>
      </c>
      <c r="AG20">
        <v>237702</v>
      </c>
      <c r="AH20">
        <v>240491</v>
      </c>
      <c r="AI20">
        <v>242301</v>
      </c>
    </row>
    <row r="21" spans="1:35" x14ac:dyDescent="0.2">
      <c r="B21" t="s">
        <v>4</v>
      </c>
      <c r="C21">
        <v>8419</v>
      </c>
      <c r="D21">
        <v>8386</v>
      </c>
      <c r="E21">
        <v>8426</v>
      </c>
      <c r="F21">
        <v>8376</v>
      </c>
      <c r="G21">
        <v>8322</v>
      </c>
      <c r="H21">
        <v>8288</v>
      </c>
      <c r="I21">
        <v>8249</v>
      </c>
      <c r="J21">
        <v>8203</v>
      </c>
      <c r="K21">
        <v>8207</v>
      </c>
      <c r="L21">
        <v>8222</v>
      </c>
      <c r="M21">
        <v>8220</v>
      </c>
      <c r="N21">
        <v>8319</v>
      </c>
      <c r="O21">
        <v>8420</v>
      </c>
      <c r="P21">
        <v>8573</v>
      </c>
      <c r="Q21">
        <v>8599</v>
      </c>
      <c r="R21">
        <v>8878</v>
      </c>
      <c r="S21">
        <v>8957</v>
      </c>
      <c r="T21">
        <v>8938</v>
      </c>
      <c r="U21">
        <v>79693</v>
      </c>
      <c r="V21">
        <v>79962</v>
      </c>
      <c r="W21">
        <v>80049</v>
      </c>
      <c r="X21">
        <v>81353</v>
      </c>
      <c r="Y21">
        <v>82656</v>
      </c>
      <c r="Z21">
        <v>84161</v>
      </c>
      <c r="AA21">
        <v>85173</v>
      </c>
      <c r="AB21">
        <v>86379</v>
      </c>
      <c r="AC21">
        <v>87573</v>
      </c>
      <c r="AD21">
        <v>89734</v>
      </c>
      <c r="AE21">
        <v>92259</v>
      </c>
      <c r="AF21">
        <v>96847</v>
      </c>
      <c r="AG21">
        <v>98094</v>
      </c>
      <c r="AH21">
        <v>99192</v>
      </c>
      <c r="AI21">
        <v>99946</v>
      </c>
    </row>
    <row r="22" spans="1:35" x14ac:dyDescent="0.2">
      <c r="U22" s="5">
        <v>28321</v>
      </c>
    </row>
    <row r="23" spans="1:35" x14ac:dyDescent="0.2">
      <c r="U23" s="5">
        <v>10464</v>
      </c>
    </row>
    <row r="24" spans="1:35" x14ac:dyDescent="0.2">
      <c r="U24" s="5">
        <v>21303</v>
      </c>
    </row>
    <row r="25" spans="1:35" x14ac:dyDescent="0.2">
      <c r="U25" s="5">
        <v>20093</v>
      </c>
    </row>
    <row r="26" spans="1:35" x14ac:dyDescent="0.2">
      <c r="U26" s="5">
        <v>8975</v>
      </c>
    </row>
    <row r="29" spans="1:35" ht="16" customHeight="1" x14ac:dyDescent="0.2">
      <c r="A29" s="6" t="s">
        <v>44</v>
      </c>
      <c r="B29" s="6"/>
      <c r="C29" s="3" t="s">
        <v>20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 t="s">
        <v>31</v>
      </c>
      <c r="S29" s="3"/>
      <c r="T29" s="3"/>
      <c r="U29" s="3" t="s">
        <v>42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5" ht="16" customHeight="1" x14ac:dyDescent="0.2">
      <c r="A30" s="6"/>
      <c r="B30" s="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 x14ac:dyDescent="0.2">
      <c r="A31" s="2" t="s">
        <v>21</v>
      </c>
      <c r="C31" s="1" t="s">
        <v>5</v>
      </c>
      <c r="D31" s="1" t="s">
        <v>6</v>
      </c>
      <c r="E31" s="1" t="s">
        <v>7</v>
      </c>
      <c r="F31" s="1" t="s">
        <v>8</v>
      </c>
      <c r="G31" s="1" t="s">
        <v>9</v>
      </c>
      <c r="H31" s="1" t="s">
        <v>10</v>
      </c>
      <c r="I31" s="1" t="s">
        <v>11</v>
      </c>
      <c r="J31" s="1" t="s">
        <v>12</v>
      </c>
      <c r="K31" s="1" t="s">
        <v>13</v>
      </c>
      <c r="L31" s="1" t="s">
        <v>14</v>
      </c>
      <c r="M31" s="1" t="s">
        <v>15</v>
      </c>
      <c r="N31" s="1" t="s">
        <v>16</v>
      </c>
      <c r="O31" s="1" t="s">
        <v>17</v>
      </c>
      <c r="P31" s="1" t="s">
        <v>18</v>
      </c>
      <c r="Q31" s="1" t="s">
        <v>19</v>
      </c>
      <c r="R31" s="1" t="s">
        <v>23</v>
      </c>
      <c r="S31" s="1" t="s">
        <v>24</v>
      </c>
      <c r="T31" s="1" t="s">
        <v>25</v>
      </c>
      <c r="U31" s="1" t="s">
        <v>26</v>
      </c>
      <c r="V31" s="1" t="s">
        <v>27</v>
      </c>
      <c r="W31" s="1" t="s">
        <v>28</v>
      </c>
      <c r="X31" s="1" t="s">
        <v>29</v>
      </c>
      <c r="Y31" s="1" t="s">
        <v>30</v>
      </c>
      <c r="Z31" s="1" t="s">
        <v>32</v>
      </c>
      <c r="AA31" s="1" t="s">
        <v>33</v>
      </c>
      <c r="AB31" s="1" t="s">
        <v>34</v>
      </c>
      <c r="AC31" s="1" t="s">
        <v>35</v>
      </c>
      <c r="AD31" s="1" t="s">
        <v>36</v>
      </c>
      <c r="AE31" s="1" t="s">
        <v>37</v>
      </c>
      <c r="AF31" s="1" t="s">
        <v>38</v>
      </c>
      <c r="AG31" s="1" t="s">
        <v>39</v>
      </c>
      <c r="AH31" s="1" t="s">
        <v>40</v>
      </c>
      <c r="AI31" s="1" t="s">
        <v>41</v>
      </c>
    </row>
    <row r="32" spans="1:35" x14ac:dyDescent="0.2">
      <c r="B32" t="s">
        <v>0</v>
      </c>
      <c r="C32">
        <f>C6*($U6/$U11)</f>
        <v>273071.52523060853</v>
      </c>
      <c r="D32">
        <f>D6*($U6/$U11)</f>
        <v>273855.24230002175</v>
      </c>
      <c r="E32">
        <f>E6*($U6/$U11)</f>
        <v>274305.51100705081</v>
      </c>
      <c r="F32">
        <f>F6*($U6/$U11)</f>
        <v>275092.6306107741</v>
      </c>
      <c r="G32">
        <f>G6*($U6/$U11)</f>
        <v>276387.86200479715</v>
      </c>
      <c r="H32">
        <f>H6*($U6/$U11)</f>
        <v>277481.20969642431</v>
      </c>
      <c r="I32">
        <f>I6*($U6/$U11)</f>
        <v>278678.90177355945</v>
      </c>
      <c r="J32">
        <f>J6*($U6/$U11)</f>
        <v>280073.94084067713</v>
      </c>
      <c r="K32">
        <f>K6*($U6/$U11)</f>
        <v>281385.05072814703</v>
      </c>
      <c r="L32">
        <f>L6*($U6/$U11)</f>
        <v>283987.98947532999</v>
      </c>
      <c r="M32">
        <f>M6*($U6/$U11)</f>
        <v>285372.82093951746</v>
      </c>
      <c r="N32">
        <f>N6*($U6/$U11)</f>
        <v>286451.42431580112</v>
      </c>
      <c r="O32">
        <f>O6*($U6/$U11)</f>
        <v>286795.08028111549</v>
      </c>
      <c r="P32">
        <f>P6*($U6/$U11)</f>
        <v>288190.11934823316</v>
      </c>
      <c r="Q32">
        <f>Q6*($U6/$U11)</f>
        <v>289690.63697896211</v>
      </c>
      <c r="R32">
        <f>R6*($U6/$U11)</f>
        <v>291830.83105997922</v>
      </c>
      <c r="S32">
        <f>S6*($U6/$U11)</f>
        <v>294255.70384493656</v>
      </c>
      <c r="T32">
        <f>T6*($U6/$U11)</f>
        <v>296257.52819734521</v>
      </c>
      <c r="U32">
        <v>297428</v>
      </c>
      <c r="V32">
        <v>298217</v>
      </c>
      <c r="W32">
        <v>299050</v>
      </c>
      <c r="X32">
        <v>300092</v>
      </c>
      <c r="Y32">
        <v>301167</v>
      </c>
      <c r="Z32">
        <v>302143</v>
      </c>
      <c r="AA32">
        <v>303842</v>
      </c>
      <c r="AB32">
        <v>305266</v>
      </c>
      <c r="AC32">
        <v>306670</v>
      </c>
      <c r="AD32">
        <v>307976</v>
      </c>
      <c r="AE32">
        <v>309632</v>
      </c>
      <c r="AF32">
        <v>313527</v>
      </c>
      <c r="AG32">
        <v>315537</v>
      </c>
      <c r="AH32">
        <v>316761</v>
      </c>
      <c r="AI32">
        <v>317697</v>
      </c>
    </row>
    <row r="33" spans="1:35" x14ac:dyDescent="0.2">
      <c r="B33" t="s">
        <v>1</v>
      </c>
      <c r="C33">
        <f>C7*($U7/$U12)</f>
        <v>253787.26093359268</v>
      </c>
      <c r="D33">
        <f>D7*($U7/$U12)</f>
        <v>254781.79080300085</v>
      </c>
      <c r="E33">
        <f>E7*($U7/$U12)</f>
        <v>255580.7670464018</v>
      </c>
      <c r="F33">
        <f>F7*($U7/$U12)</f>
        <v>256240.06212836903</v>
      </c>
      <c r="G33">
        <f>G7*($U7/$U12)</f>
        <v>257146.31350375107</v>
      </c>
      <c r="H33">
        <f>H7*($U7/$U12)</f>
        <v>257782.14215059741</v>
      </c>
      <c r="I33">
        <f>I7*($U7/$U12)</f>
        <v>258771.08477354824</v>
      </c>
      <c r="J33">
        <f>J7*($U7/$U12)</f>
        <v>260109.78902472911</v>
      </c>
      <c r="K33">
        <f>K7*($U7/$U12)</f>
        <v>261794.90255626565</v>
      </c>
      <c r="L33">
        <f>L7*($U7/$U12)</f>
        <v>263300.10675187554</v>
      </c>
      <c r="M33">
        <f>M7*($U7/$U12)</f>
        <v>264912.58607946656</v>
      </c>
      <c r="N33">
        <f>N7*($U7/$U12)</f>
        <v>266547.41439288692</v>
      </c>
      <c r="O33">
        <f>O7*($U7/$U12)</f>
        <v>268683.97743817727</v>
      </c>
      <c r="P33">
        <f>P7*($U7/$U12)</f>
        <v>271123.36924145598</v>
      </c>
      <c r="Q33">
        <f>Q7*($U7/$U12)</f>
        <v>273131.42561822728</v>
      </c>
      <c r="R33">
        <f>R7*($U7/$U12)</f>
        <v>275185.29741594888</v>
      </c>
      <c r="S33">
        <f>S7*($U7/$U12)</f>
        <v>277957.68910808559</v>
      </c>
      <c r="T33">
        <f>T7*($U7/$U12)</f>
        <v>280449.60102806339</v>
      </c>
      <c r="U33">
        <v>281519</v>
      </c>
      <c r="V33">
        <v>283107</v>
      </c>
      <c r="W33">
        <v>284143</v>
      </c>
      <c r="X33">
        <v>284875</v>
      </c>
      <c r="Y33">
        <v>285772</v>
      </c>
      <c r="Z33">
        <v>286296</v>
      </c>
      <c r="AA33">
        <v>287079</v>
      </c>
      <c r="AB33">
        <v>288259</v>
      </c>
      <c r="AC33">
        <v>289067</v>
      </c>
      <c r="AD33">
        <v>289933</v>
      </c>
      <c r="AE33">
        <v>291346</v>
      </c>
      <c r="AF33">
        <v>296605</v>
      </c>
      <c r="AG33">
        <v>298460</v>
      </c>
      <c r="AH33">
        <v>300160</v>
      </c>
      <c r="AI33">
        <v>301748</v>
      </c>
    </row>
    <row r="34" spans="1:35" x14ac:dyDescent="0.2">
      <c r="B34" t="s">
        <v>2</v>
      </c>
      <c r="C34">
        <f>C8*($U8/$U13)</f>
        <v>363648.43826952309</v>
      </c>
      <c r="D34">
        <f>D8*($U8/$U13)</f>
        <v>365127.2837573071</v>
      </c>
      <c r="E34">
        <f>E8*($U8/$U13)</f>
        <v>366215.61640810687</v>
      </c>
      <c r="F34">
        <f>F8*($U8/$U13)</f>
        <v>367410.45255990233</v>
      </c>
      <c r="G34">
        <f>G8*($U8/$U13)</f>
        <v>368698.47927506902</v>
      </c>
      <c r="H34">
        <f>H8*($U8/$U13)</f>
        <v>370682.10698111384</v>
      </c>
      <c r="I34">
        <f>I8*($U8/$U13)</f>
        <v>373874.99318804732</v>
      </c>
      <c r="J34">
        <f>J8*($U8/$U13)</f>
        <v>377124.45937988476</v>
      </c>
      <c r="K34">
        <f>K8*($U8/$U13)</f>
        <v>380178.66915323009</v>
      </c>
      <c r="L34">
        <f>L8*($U8/$U13)</f>
        <v>383119.71895676746</v>
      </c>
      <c r="M34">
        <f>M8*($U8/$U13)</f>
        <v>385812.26059131493</v>
      </c>
      <c r="N34">
        <f>N8*($U8/$U13)</f>
        <v>388278.48228624649</v>
      </c>
      <c r="O34">
        <f>O8*($U8/$U13)</f>
        <v>390872.2863000792</v>
      </c>
      <c r="P34">
        <f>P8*($U8/$U13)</f>
        <v>394487.85827658931</v>
      </c>
      <c r="Q34">
        <f>Q8*($U8/$U13)</f>
        <v>397535.41158112243</v>
      </c>
      <c r="R34">
        <f>R8*($U8/$U13)</f>
        <v>404934.07666591718</v>
      </c>
      <c r="S34">
        <f>S8*($U8/$U13)</f>
        <v>409073.29085565615</v>
      </c>
      <c r="T34">
        <f>T8*($U8/$U13)</f>
        <v>412583.46874263929</v>
      </c>
      <c r="U34">
        <v>414485</v>
      </c>
      <c r="V34">
        <v>417034</v>
      </c>
      <c r="W34">
        <v>418660</v>
      </c>
      <c r="X34">
        <v>420584</v>
      </c>
      <c r="Y34">
        <v>421958</v>
      </c>
      <c r="Z34">
        <v>422871</v>
      </c>
      <c r="AA34">
        <v>424201</v>
      </c>
      <c r="AB34">
        <v>425493</v>
      </c>
      <c r="AC34">
        <v>427212</v>
      </c>
      <c r="AD34">
        <v>428725</v>
      </c>
      <c r="AE34">
        <v>431076</v>
      </c>
      <c r="AF34">
        <v>438657</v>
      </c>
      <c r="AG34">
        <v>441418</v>
      </c>
      <c r="AH34">
        <v>443355</v>
      </c>
      <c r="AI34">
        <v>445066</v>
      </c>
    </row>
    <row r="35" spans="1:35" x14ac:dyDescent="0.2">
      <c r="B35" t="s">
        <v>3</v>
      </c>
      <c r="C35">
        <f>C9*($U9/$U14)</f>
        <v>365480.47841971467</v>
      </c>
      <c r="D35">
        <f>D9*($U9/$U14)</f>
        <v>367041.56506035809</v>
      </c>
      <c r="E35">
        <f>E9*($U9/$U14)</f>
        <v>368102.49772875657</v>
      </c>
      <c r="F35">
        <f>F9*($U9/$U14)</f>
        <v>369423.25064247707</v>
      </c>
      <c r="G35">
        <f>G9*($U9/$U14)</f>
        <v>370748.33389361965</v>
      </c>
      <c r="H35">
        <f>H9*($U9/$U14)</f>
        <v>372422.009307236</v>
      </c>
      <c r="I35">
        <f>I9*($U9/$U14)</f>
        <v>374705.17971300369</v>
      </c>
      <c r="J35">
        <f>J9*($U9/$U14)</f>
        <v>377396.4844207982</v>
      </c>
      <c r="K35">
        <f>K9*($U9/$U14)</f>
        <v>379872.35484184639</v>
      </c>
      <c r="L35">
        <f>L9*($U9/$U14)</f>
        <v>381717.07858363312</v>
      </c>
      <c r="M35">
        <f>M9*($U9/$U14)</f>
        <v>383636.50064594991</v>
      </c>
      <c r="N35">
        <f>N9*($U9/$U14)</f>
        <v>385256.04684179084</v>
      </c>
      <c r="O35">
        <f>O9*($U9/$U14)</f>
        <v>387270.7363273924</v>
      </c>
      <c r="P35">
        <f>P9*($U9/$U14)</f>
        <v>389919.82024532201</v>
      </c>
      <c r="Q35">
        <f>Q9*($U9/$U14)</f>
        <v>392197.57772931218</v>
      </c>
      <c r="R35">
        <f>R9*($U9/$U14)</f>
        <v>377821.94007251307</v>
      </c>
      <c r="S35">
        <f>S9*($U9/$U14)</f>
        <v>382226.97581507766</v>
      </c>
      <c r="T35">
        <f>T9*($U9/$U14)</f>
        <v>387026.07226304745</v>
      </c>
      <c r="U35">
        <v>389660</v>
      </c>
      <c r="V35">
        <v>391826</v>
      </c>
      <c r="W35">
        <v>394590</v>
      </c>
      <c r="X35">
        <v>396890</v>
      </c>
      <c r="Y35">
        <v>399883</v>
      </c>
      <c r="Z35">
        <v>401760</v>
      </c>
      <c r="AA35">
        <v>404051</v>
      </c>
      <c r="AB35">
        <v>406859</v>
      </c>
      <c r="AC35">
        <v>409518</v>
      </c>
      <c r="AD35">
        <v>411482</v>
      </c>
      <c r="AE35">
        <v>416381</v>
      </c>
      <c r="AF35">
        <v>428752</v>
      </c>
      <c r="AG35">
        <v>431901</v>
      </c>
      <c r="AH35">
        <v>433681</v>
      </c>
      <c r="AI35">
        <v>435654</v>
      </c>
    </row>
    <row r="36" spans="1:35" x14ac:dyDescent="0.2">
      <c r="B36" t="s">
        <v>4</v>
      </c>
      <c r="C36">
        <f>C10*($U10/$U15)</f>
        <v>178517.03484691883</v>
      </c>
      <c r="D36">
        <f>D10*($U10/$U15)</f>
        <v>178776.14509106684</v>
      </c>
      <c r="E36">
        <f>E10*($U10/$U15)</f>
        <v>179141.10462644126</v>
      </c>
      <c r="F36">
        <f>F10*($U10/$U15)</f>
        <v>179409.03564485812</v>
      </c>
      <c r="G36">
        <f>G10*($U10/$U15)</f>
        <v>179757.4562284784</v>
      </c>
      <c r="H36">
        <f>H10*($U10/$U15)</f>
        <v>180109.18460244953</v>
      </c>
      <c r="I36">
        <f>I10*($U10/$U15)</f>
        <v>180823.66731822785</v>
      </c>
      <c r="J36">
        <f>J10*($U10/$U15)</f>
        <v>181787.33690710168</v>
      </c>
      <c r="K36">
        <f>K10*($U10/$U15)</f>
        <v>182617.59228515887</v>
      </c>
      <c r="L36">
        <f>L10*($U10/$U15)</f>
        <v>183532.74761555393</v>
      </c>
      <c r="M36">
        <f>M10*($U10/$U15)</f>
        <v>184299.05238016185</v>
      </c>
      <c r="N36">
        <f>N10*($U10/$U15)</f>
        <v>184973.84161173025</v>
      </c>
      <c r="O36">
        <f>O10*($U10/$U15)</f>
        <v>185955.15274914182</v>
      </c>
      <c r="P36">
        <f>P10*($U10/$U15)</f>
        <v>187127.21313011766</v>
      </c>
      <c r="Q36">
        <f>Q10*($U10/$U15)</f>
        <v>187718.20500613182</v>
      </c>
      <c r="R36">
        <f>R10*($U10/$U15)</f>
        <v>201617.54006030067</v>
      </c>
      <c r="S36">
        <f>S10*($U10/$U15)</f>
        <v>203338.69363951354</v>
      </c>
      <c r="T36">
        <f>T10*($U10/$U15)</f>
        <v>204896.66289475237</v>
      </c>
      <c r="U36">
        <v>205889</v>
      </c>
      <c r="V36">
        <v>206616</v>
      </c>
      <c r="W36">
        <v>207277</v>
      </c>
      <c r="X36">
        <v>207867</v>
      </c>
      <c r="Y36">
        <v>208409</v>
      </c>
      <c r="Z36">
        <v>208786</v>
      </c>
      <c r="AA36">
        <v>209305</v>
      </c>
      <c r="AB36">
        <v>209799</v>
      </c>
      <c r="AC36">
        <v>210337</v>
      </c>
      <c r="AD36">
        <v>211341</v>
      </c>
      <c r="AE36">
        <v>212184</v>
      </c>
      <c r="AF36">
        <v>215527</v>
      </c>
      <c r="AG36">
        <v>216659</v>
      </c>
      <c r="AH36">
        <v>217932</v>
      </c>
      <c r="AI36">
        <v>218467</v>
      </c>
    </row>
    <row r="37" spans="1:35" x14ac:dyDescent="0.2">
      <c r="A37" s="2" t="s">
        <v>22</v>
      </c>
    </row>
    <row r="38" spans="1:35" x14ac:dyDescent="0.2">
      <c r="B38" t="s">
        <v>0</v>
      </c>
      <c r="C38">
        <f>C17*($U17/$U22)</f>
        <v>511901.82832527102</v>
      </c>
      <c r="D38">
        <f>D17*($U17/$U22)</f>
        <v>510031.69986935495</v>
      </c>
      <c r="E38">
        <f>E17*($U17/$U22)</f>
        <v>509775.01557148411</v>
      </c>
      <c r="F38">
        <f>F17*($U17/$U22)</f>
        <v>508473.25948942488</v>
      </c>
      <c r="G38">
        <f>G17*($U17/$U22)</f>
        <v>507629.86822499213</v>
      </c>
      <c r="H38">
        <f>H17*($U17/$U22)</f>
        <v>506603.13103350875</v>
      </c>
      <c r="I38">
        <f>I17*($U17/$U22)</f>
        <v>503962.94968398014</v>
      </c>
      <c r="J38">
        <f>J17*($U17/$U22)</f>
        <v>502826.20493626641</v>
      </c>
      <c r="K38">
        <f>K17*($U17/$U22)</f>
        <v>502221.16337699944</v>
      </c>
      <c r="L38">
        <f>L17*($U17/$U22)</f>
        <v>501341.10292715655</v>
      </c>
      <c r="M38">
        <f>M17*($U17/$U22)</f>
        <v>501341.10292715655</v>
      </c>
      <c r="N38">
        <f>N17*($U17/$U22)</f>
        <v>502587.85523110064</v>
      </c>
      <c r="O38">
        <f>O17*($U17/$U22)</f>
        <v>503687.93079340423</v>
      </c>
      <c r="P38">
        <f>P17*($U17/$U22)</f>
        <v>508711.60919459065</v>
      </c>
      <c r="Q38">
        <f>Q17*($U17/$U22)</f>
        <v>509903.35772041953</v>
      </c>
      <c r="R38">
        <f>R17*($U17/$U22)</f>
        <v>513221.91900003533</v>
      </c>
      <c r="S38">
        <f>S17*($U17/$U22)</f>
        <v>516888.83754104731</v>
      </c>
      <c r="T38">
        <f>T17*($U17/$U22)</f>
        <v>518685.62762614316</v>
      </c>
      <c r="U38">
        <v>519254</v>
      </c>
      <c r="V38">
        <v>521671</v>
      </c>
      <c r="W38">
        <v>523345</v>
      </c>
      <c r="X38">
        <v>524528</v>
      </c>
      <c r="Y38">
        <v>527892</v>
      </c>
      <c r="Z38">
        <v>530688</v>
      </c>
      <c r="AA38">
        <v>533113</v>
      </c>
      <c r="AB38">
        <v>537483</v>
      </c>
      <c r="AC38">
        <v>543862</v>
      </c>
      <c r="AD38">
        <v>551649</v>
      </c>
      <c r="AE38">
        <v>559436</v>
      </c>
      <c r="AF38">
        <v>584507</v>
      </c>
      <c r="AG38">
        <v>592131</v>
      </c>
      <c r="AH38">
        <v>599332</v>
      </c>
      <c r="AI38">
        <v>603736</v>
      </c>
    </row>
    <row r="39" spans="1:35" x14ac:dyDescent="0.2">
      <c r="B39" t="s">
        <v>1</v>
      </c>
      <c r="C39">
        <f>C18*($U18/$U23)</f>
        <v>96458.368883792049</v>
      </c>
      <c r="D39">
        <f>D18*($U18/$U23)</f>
        <v>95521.787079510716</v>
      </c>
      <c r="E39">
        <f>E18*($U18/$U23)</f>
        <v>96295.900611620804</v>
      </c>
      <c r="F39">
        <f>F18*($U18/$U23)</f>
        <v>95894.508409785936</v>
      </c>
      <c r="G39">
        <f>G18*($U18/$U23)</f>
        <v>95149.06574923548</v>
      </c>
      <c r="H39">
        <f>H18*($U18/$U23)</f>
        <v>94403.623088685024</v>
      </c>
      <c r="I39">
        <f>I18*($U18/$U23)</f>
        <v>93983.116972477073</v>
      </c>
      <c r="J39">
        <f>J18*($U18/$U23)</f>
        <v>93409.699541284412</v>
      </c>
      <c r="K39">
        <f>K18*($U18/$U23)</f>
        <v>93142.104740061171</v>
      </c>
      <c r="L39">
        <f>L18*($U18/$U23)</f>
        <v>93505.269113149858</v>
      </c>
      <c r="M39">
        <f>M18*($U18/$U23)</f>
        <v>93658.180428134569</v>
      </c>
      <c r="N39">
        <f>N18*($U18/$U23)</f>
        <v>94155.142201834868</v>
      </c>
      <c r="O39">
        <f>O18*($U18/$U23)</f>
        <v>94374.952217125392</v>
      </c>
      <c r="P39">
        <f>P18*($U18/$U23)</f>
        <v>96773.74847094802</v>
      </c>
      <c r="Q39">
        <f>Q18*($U18/$U23)</f>
        <v>97414.064602446495</v>
      </c>
      <c r="R39">
        <f>R18*($U18/$U23)</f>
        <v>98226.405963302765</v>
      </c>
      <c r="S39">
        <f>S18*($U18/$U23)</f>
        <v>99201.215596330279</v>
      </c>
      <c r="T39">
        <f>T18*($U18/$U23)</f>
        <v>99745.962155963309</v>
      </c>
      <c r="U39">
        <v>100004</v>
      </c>
      <c r="V39">
        <v>100946</v>
      </c>
      <c r="W39">
        <v>101262</v>
      </c>
      <c r="X39">
        <v>101786</v>
      </c>
      <c r="Y39">
        <v>102364</v>
      </c>
      <c r="Z39">
        <v>102522</v>
      </c>
      <c r="AA39">
        <v>102750</v>
      </c>
      <c r="AB39">
        <v>103251</v>
      </c>
      <c r="AC39">
        <v>104074</v>
      </c>
      <c r="AD39">
        <v>104797</v>
      </c>
      <c r="AE39">
        <v>106131</v>
      </c>
      <c r="AF39">
        <v>111287</v>
      </c>
      <c r="AG39">
        <v>113036</v>
      </c>
      <c r="AH39">
        <v>115613</v>
      </c>
      <c r="AI39">
        <v>116505</v>
      </c>
    </row>
    <row r="40" spans="1:35" x14ac:dyDescent="0.2">
      <c r="B40" t="s">
        <v>2</v>
      </c>
      <c r="C40">
        <f>C19*($U19/$U24)</f>
        <v>139697.08543397643</v>
      </c>
      <c r="D40">
        <f>D19*($U19/$U24)</f>
        <v>139379.98671548607</v>
      </c>
      <c r="E40">
        <f>E19*($U19/$U24)</f>
        <v>140338.83284044501</v>
      </c>
      <c r="F40">
        <f>F19*($U19/$U24)</f>
        <v>140180.28348119982</v>
      </c>
      <c r="G40">
        <f>G19*($U19/$U24)</f>
        <v>139674.43552551285</v>
      </c>
      <c r="H40">
        <f>H19*($U19/$U24)</f>
        <v>139161.03760033796</v>
      </c>
      <c r="I40">
        <f>I19*($U19/$U24)</f>
        <v>139236.53729521664</v>
      </c>
      <c r="J40">
        <f>J19*($U19/$U24)</f>
        <v>139644.23564756138</v>
      </c>
      <c r="K40">
        <f>K19*($U19/$U24)</f>
        <v>140255.78317607849</v>
      </c>
      <c r="L40">
        <f>L19*($U19/$U24)</f>
        <v>142030.02600572689</v>
      </c>
      <c r="M40">
        <f>M19*($U19/$U24)</f>
        <v>143706.11923203303</v>
      </c>
      <c r="N40">
        <f>N19*($U19/$U24)</f>
        <v>144959.41416701872</v>
      </c>
      <c r="O40">
        <f>O19*($U19/$U24)</f>
        <v>146763.85687461859</v>
      </c>
      <c r="P40">
        <f>P19*($U19/$U24)</f>
        <v>149655.4951884711</v>
      </c>
      <c r="Q40">
        <f>Q19*($U19/$U24)</f>
        <v>150206.64296108528</v>
      </c>
      <c r="R40">
        <f>R19*($U19/$U24)</f>
        <v>159878.15387504105</v>
      </c>
      <c r="S40">
        <f>S19*($U19/$U24)</f>
        <v>160225.45247148289</v>
      </c>
      <c r="T40">
        <f>T19*($U19/$U24)</f>
        <v>160368.90189175232</v>
      </c>
      <c r="U40">
        <v>160837</v>
      </c>
      <c r="V40">
        <v>161982</v>
      </c>
      <c r="W40">
        <v>162360</v>
      </c>
      <c r="X40">
        <v>163566</v>
      </c>
      <c r="Y40">
        <v>164583</v>
      </c>
      <c r="Z40">
        <v>165012</v>
      </c>
      <c r="AA40">
        <v>165464</v>
      </c>
      <c r="AB40">
        <v>166817</v>
      </c>
      <c r="AC40">
        <v>168463</v>
      </c>
      <c r="AD40">
        <v>170336</v>
      </c>
      <c r="AE40">
        <v>173564</v>
      </c>
      <c r="AF40">
        <v>181100</v>
      </c>
      <c r="AG40">
        <v>183911</v>
      </c>
      <c r="AH40">
        <v>185930</v>
      </c>
      <c r="AI40">
        <v>187548</v>
      </c>
    </row>
    <row r="41" spans="1:35" x14ac:dyDescent="0.2">
      <c r="B41" t="s">
        <v>3</v>
      </c>
      <c r="C41">
        <f>C20*($U20/$U25)</f>
        <v>196702.9216144926</v>
      </c>
      <c r="D41">
        <f>D20*($U20/$U25)</f>
        <v>195528.20519583934</v>
      </c>
      <c r="E41">
        <f>E20*($U20/$U25)</f>
        <v>195404.04817598168</v>
      </c>
      <c r="F41">
        <f>F20*($U20/$U25)</f>
        <v>194401.24147713132</v>
      </c>
      <c r="G41">
        <f>G20*($U20/$U25)</f>
        <v>193503.49071816055</v>
      </c>
      <c r="H41">
        <f>H20*($U20/$U25)</f>
        <v>192634.39157915692</v>
      </c>
      <c r="I41">
        <f>I20*($U20/$U25)</f>
        <v>192090.01079978101</v>
      </c>
      <c r="J41">
        <f>J20*($U20/$U25)</f>
        <v>192557.98725924452</v>
      </c>
      <c r="K41">
        <f>K20*($U20/$U25)</f>
        <v>192510.23455929925</v>
      </c>
      <c r="L41">
        <f>L20*($U20/$U25)</f>
        <v>192949.55939879559</v>
      </c>
      <c r="M41">
        <f>M20*($U20/$U25)</f>
        <v>193895.06285771163</v>
      </c>
      <c r="N41">
        <f>N20*($U20/$U25)</f>
        <v>195891.12571542326</v>
      </c>
      <c r="O41">
        <f>O20*($U20/$U25)</f>
        <v>198211.90693276265</v>
      </c>
      <c r="P41">
        <f>P20*($U20/$U25)</f>
        <v>201382.68620912754</v>
      </c>
      <c r="Q41">
        <f>Q20*($U20/$U25)</f>
        <v>201822.01104862388</v>
      </c>
      <c r="R41">
        <f>R20*($U20/$U25)</f>
        <v>188069.23346439056</v>
      </c>
      <c r="S41">
        <f>S20*($U20/$U25)</f>
        <v>189950.68984223361</v>
      </c>
      <c r="T41">
        <f>T20*($U20/$U25)</f>
        <v>191163.60842084308</v>
      </c>
      <c r="U41">
        <v>191899</v>
      </c>
      <c r="V41">
        <v>193636</v>
      </c>
      <c r="W41">
        <v>195021</v>
      </c>
      <c r="X41">
        <v>197784</v>
      </c>
      <c r="Y41">
        <v>200316</v>
      </c>
      <c r="Z41">
        <v>201279</v>
      </c>
      <c r="AA41">
        <v>203181</v>
      </c>
      <c r="AB41">
        <v>205104</v>
      </c>
      <c r="AC41">
        <v>208743</v>
      </c>
      <c r="AD41">
        <v>212100</v>
      </c>
      <c r="AE41">
        <v>215349</v>
      </c>
      <c r="AF41">
        <v>232695</v>
      </c>
      <c r="AG41">
        <v>237702</v>
      </c>
      <c r="AH41">
        <v>240491</v>
      </c>
      <c r="AI41">
        <v>242301</v>
      </c>
    </row>
    <row r="42" spans="1:35" x14ac:dyDescent="0.2">
      <c r="B42" t="s">
        <v>4</v>
      </c>
      <c r="C42">
        <f>C21*($U21/$U26)</f>
        <v>74756.02974930362</v>
      </c>
      <c r="D42">
        <f>D21*($U21/$U26)</f>
        <v>74463.00813370473</v>
      </c>
      <c r="E42">
        <f>E21*($U21/$U26)</f>
        <v>74818.185849582165</v>
      </c>
      <c r="F42">
        <f>F21*($U21/$U26)</f>
        <v>74374.213704735375</v>
      </c>
      <c r="G42">
        <f>G21*($U21/$U26)</f>
        <v>73894.723788300835</v>
      </c>
      <c r="H42">
        <f>H21*($U21/$U26)</f>
        <v>73592.822729805004</v>
      </c>
      <c r="I42">
        <f>I21*($U21/$U26)</f>
        <v>73246.524456824511</v>
      </c>
      <c r="J42">
        <f>J21*($U21/$U26)</f>
        <v>72838.070083565457</v>
      </c>
      <c r="K42">
        <f>K21*($U21/$U26)</f>
        <v>72873.587855153193</v>
      </c>
      <c r="L42">
        <f>L21*($U21/$U26)</f>
        <v>73006.77949860724</v>
      </c>
      <c r="M42">
        <f>M21*($U21/$U26)</f>
        <v>72989.020612813372</v>
      </c>
      <c r="N42">
        <f>N21*($U21/$U26)</f>
        <v>73868.085459610025</v>
      </c>
      <c r="O42">
        <f>O21*($U21/$U26)</f>
        <v>74764.909192200546</v>
      </c>
      <c r="P42">
        <f>P21*($U21/$U26)</f>
        <v>76123.463955431755</v>
      </c>
      <c r="Q42">
        <f>Q21*($U21/$U26)</f>
        <v>76354.329470752084</v>
      </c>
      <c r="R42">
        <f>R21*($U21/$U26)</f>
        <v>78831.694038997215</v>
      </c>
      <c r="S42">
        <f>S21*($U21/$U26)</f>
        <v>79533.170027855143</v>
      </c>
      <c r="T42">
        <f>T21*($U21/$U26)</f>
        <v>79364.46061281336</v>
      </c>
      <c r="U42">
        <v>79693</v>
      </c>
      <c r="V42">
        <v>79962</v>
      </c>
      <c r="W42">
        <v>80049</v>
      </c>
      <c r="X42">
        <v>81353</v>
      </c>
      <c r="Y42">
        <v>82656</v>
      </c>
      <c r="Z42">
        <v>84161</v>
      </c>
      <c r="AA42">
        <v>85173</v>
      </c>
      <c r="AB42">
        <v>86379</v>
      </c>
      <c r="AC42">
        <v>87573</v>
      </c>
      <c r="AD42">
        <v>89734</v>
      </c>
      <c r="AE42">
        <v>92259</v>
      </c>
      <c r="AF42">
        <v>96847</v>
      </c>
      <c r="AG42">
        <v>98094</v>
      </c>
      <c r="AH42">
        <v>99192</v>
      </c>
      <c r="AI42">
        <v>99946</v>
      </c>
    </row>
    <row r="45" spans="1:35" x14ac:dyDescent="0.2">
      <c r="A45" s="6" t="s">
        <v>45</v>
      </c>
      <c r="B45" s="6"/>
      <c r="C45" s="3" t="s">
        <v>20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 t="s">
        <v>31</v>
      </c>
      <c r="S45" s="3"/>
      <c r="T45" s="3"/>
      <c r="U45" s="3" t="s">
        <v>42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spans="1:35" x14ac:dyDescent="0.2">
      <c r="A46" s="6"/>
      <c r="B46" s="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1:35" x14ac:dyDescent="0.2">
      <c r="A47" s="2" t="s">
        <v>21</v>
      </c>
      <c r="C47" s="1" t="s">
        <v>5</v>
      </c>
      <c r="D47" s="1" t="s">
        <v>6</v>
      </c>
      <c r="E47" s="1" t="s">
        <v>7</v>
      </c>
      <c r="F47" s="1" t="s">
        <v>8</v>
      </c>
      <c r="G47" s="1" t="s">
        <v>9</v>
      </c>
      <c r="H47" s="1" t="s">
        <v>10</v>
      </c>
      <c r="I47" s="1" t="s">
        <v>11</v>
      </c>
      <c r="J47" s="1" t="s">
        <v>12</v>
      </c>
      <c r="K47" s="1" t="s">
        <v>13</v>
      </c>
      <c r="L47" s="1" t="s">
        <v>14</v>
      </c>
      <c r="M47" s="1" t="s">
        <v>15</v>
      </c>
      <c r="N47" s="1" t="s">
        <v>16</v>
      </c>
      <c r="O47" s="1" t="s">
        <v>17</v>
      </c>
      <c r="P47" s="1" t="s">
        <v>18</v>
      </c>
      <c r="Q47" s="1" t="s">
        <v>19</v>
      </c>
      <c r="R47" s="1" t="s">
        <v>23</v>
      </c>
      <c r="S47" s="1" t="s">
        <v>24</v>
      </c>
      <c r="T47" s="1" t="s">
        <v>25</v>
      </c>
      <c r="U47" s="1" t="s">
        <v>26</v>
      </c>
      <c r="V47" s="1" t="s">
        <v>27</v>
      </c>
      <c r="W47" s="1" t="s">
        <v>28</v>
      </c>
      <c r="X47" s="1" t="s">
        <v>29</v>
      </c>
      <c r="Y47" s="1" t="s">
        <v>30</v>
      </c>
      <c r="Z47" s="1" t="s">
        <v>32</v>
      </c>
      <c r="AA47" s="1" t="s">
        <v>33</v>
      </c>
      <c r="AB47" s="1" t="s">
        <v>34</v>
      </c>
      <c r="AC47" s="1" t="s">
        <v>35</v>
      </c>
      <c r="AD47" s="1" t="s">
        <v>36</v>
      </c>
      <c r="AE47" s="1" t="s">
        <v>37</v>
      </c>
      <c r="AF47" s="1" t="s">
        <v>38</v>
      </c>
      <c r="AG47" s="1" t="s">
        <v>39</v>
      </c>
      <c r="AH47" s="1" t="s">
        <v>40</v>
      </c>
      <c r="AI47" s="1" t="s">
        <v>41</v>
      </c>
    </row>
    <row r="48" spans="1:35" x14ac:dyDescent="0.2">
      <c r="B48" t="s">
        <v>0</v>
      </c>
      <c r="C48">
        <f>C32/(C32+C38)</f>
        <v>0.34787362398177191</v>
      </c>
      <c r="D48">
        <f t="shared" ref="D48:AI52" si="0">D32/(D32+D38)</f>
        <v>0.34935553530479535</v>
      </c>
      <c r="E48">
        <f t="shared" si="0"/>
        <v>0.34984354502977938</v>
      </c>
      <c r="F48">
        <f t="shared" si="0"/>
        <v>0.35107785329399221</v>
      </c>
      <c r="G48">
        <f t="shared" si="0"/>
        <v>0.3525275658291428</v>
      </c>
      <c r="H48">
        <f t="shared" si="0"/>
        <v>0.35389204360095605</v>
      </c>
      <c r="I48">
        <f t="shared" si="0"/>
        <v>0.35607462245287114</v>
      </c>
      <c r="J48">
        <f t="shared" si="0"/>
        <v>0.35773903268690044</v>
      </c>
      <c r="K48">
        <f t="shared" si="0"/>
        <v>0.35908986639351742</v>
      </c>
      <c r="L48">
        <f t="shared" si="0"/>
        <v>0.36161654040671165</v>
      </c>
      <c r="M48">
        <f t="shared" si="0"/>
        <v>0.36274026972462758</v>
      </c>
      <c r="N48">
        <f t="shared" si="0"/>
        <v>0.36303823110085609</v>
      </c>
      <c r="O48">
        <f t="shared" si="0"/>
        <v>0.36280992287395153</v>
      </c>
      <c r="P48">
        <f t="shared" si="0"/>
        <v>0.36163821588792855</v>
      </c>
      <c r="Q48">
        <f t="shared" si="0"/>
        <v>0.36229716443515225</v>
      </c>
      <c r="R48">
        <f t="shared" si="0"/>
        <v>0.36249901765843789</v>
      </c>
      <c r="S48">
        <f t="shared" si="0"/>
        <v>0.36276605318966787</v>
      </c>
      <c r="T48">
        <f t="shared" si="0"/>
        <v>0.36353152496627966</v>
      </c>
      <c r="U48">
        <f t="shared" si="0"/>
        <v>0.36419071315395712</v>
      </c>
      <c r="V48">
        <f t="shared" si="0"/>
        <v>0.36372894834416408</v>
      </c>
      <c r="W48">
        <f t="shared" si="0"/>
        <v>0.3636330473799087</v>
      </c>
      <c r="X48">
        <f t="shared" si="0"/>
        <v>0.36391550047294513</v>
      </c>
      <c r="Y48">
        <f t="shared" si="0"/>
        <v>0.36326365192344573</v>
      </c>
      <c r="Z48">
        <f t="shared" si="0"/>
        <v>0.36279028998680407</v>
      </c>
      <c r="AA48">
        <f t="shared" si="0"/>
        <v>0.36303266005938195</v>
      </c>
      <c r="AB48">
        <f t="shared" si="0"/>
        <v>0.36222647549863601</v>
      </c>
      <c r="AC48">
        <f t="shared" si="0"/>
        <v>0.36056256554721045</v>
      </c>
      <c r="AD48">
        <f t="shared" si="0"/>
        <v>0.3582678493529155</v>
      </c>
      <c r="AE48">
        <f t="shared" si="0"/>
        <v>0.3562805212020233</v>
      </c>
      <c r="AF48">
        <f t="shared" si="0"/>
        <v>0.34912597963996911</v>
      </c>
      <c r="AG48">
        <f t="shared" si="0"/>
        <v>0.34763481801716045</v>
      </c>
      <c r="AH48">
        <f t="shared" si="0"/>
        <v>0.34577384610514433</v>
      </c>
      <c r="AI48">
        <f t="shared" si="0"/>
        <v>0.34478578475049187</v>
      </c>
    </row>
    <row r="49" spans="2:35" x14ac:dyDescent="0.2">
      <c r="B49" t="s">
        <v>1</v>
      </c>
      <c r="C49">
        <f t="shared" ref="C49:R52" si="1">C33/(C33+C39)</f>
        <v>0.72459793735589306</v>
      </c>
      <c r="D49">
        <f t="shared" si="1"/>
        <v>0.72731712403020965</v>
      </c>
      <c r="E49">
        <f t="shared" si="1"/>
        <v>0.72633621532073955</v>
      </c>
      <c r="F49">
        <f t="shared" si="1"/>
        <v>0.72767652927903748</v>
      </c>
      <c r="G49">
        <f t="shared" si="1"/>
        <v>0.72991679325743286</v>
      </c>
      <c r="H49">
        <f t="shared" si="1"/>
        <v>0.73194935058052324</v>
      </c>
      <c r="I49">
        <f t="shared" si="1"/>
        <v>0.73357335927597911</v>
      </c>
      <c r="J49">
        <f t="shared" si="1"/>
        <v>0.73577213544808062</v>
      </c>
      <c r="K49">
        <f t="shared" si="1"/>
        <v>0.73758130928765209</v>
      </c>
      <c r="L49">
        <f t="shared" si="1"/>
        <v>0.73793761126367774</v>
      </c>
      <c r="M49">
        <f t="shared" si="1"/>
        <v>0.73880140497691926</v>
      </c>
      <c r="N49">
        <f t="shared" si="1"/>
        <v>0.73896735556652648</v>
      </c>
      <c r="O49">
        <f t="shared" si="1"/>
        <v>0.74005610519832865</v>
      </c>
      <c r="P49">
        <f t="shared" si="1"/>
        <v>0.73695431735728112</v>
      </c>
      <c r="Q49">
        <f t="shared" si="1"/>
        <v>0.73710632790475261</v>
      </c>
      <c r="R49">
        <f t="shared" si="1"/>
        <v>0.73694877510697576</v>
      </c>
      <c r="S49">
        <f t="shared" si="0"/>
        <v>0.73697766549068877</v>
      </c>
      <c r="T49">
        <f t="shared" si="0"/>
        <v>0.73764564394013432</v>
      </c>
      <c r="U49">
        <f t="shared" si="0"/>
        <v>0.73788211981977492</v>
      </c>
      <c r="V49">
        <f t="shared" si="0"/>
        <v>0.73715606960497637</v>
      </c>
      <c r="W49">
        <f t="shared" si="0"/>
        <v>0.73725820889713423</v>
      </c>
      <c r="X49">
        <f t="shared" si="0"/>
        <v>0.73675648694851559</v>
      </c>
      <c r="Y49">
        <f t="shared" si="0"/>
        <v>0.73626769998144981</v>
      </c>
      <c r="Z49">
        <f t="shared" si="0"/>
        <v>0.73632393562026455</v>
      </c>
      <c r="AA49">
        <f t="shared" si="0"/>
        <v>0.73642289311467335</v>
      </c>
      <c r="AB49">
        <f t="shared" si="0"/>
        <v>0.73627493550611733</v>
      </c>
      <c r="AC49">
        <f t="shared" si="0"/>
        <v>0.73527563902009707</v>
      </c>
      <c r="AD49">
        <f t="shared" si="0"/>
        <v>0.73450966483419045</v>
      </c>
      <c r="AE49">
        <f t="shared" si="0"/>
        <v>0.73298832385270096</v>
      </c>
      <c r="AF49">
        <f t="shared" si="0"/>
        <v>0.72716552420738823</v>
      </c>
      <c r="AG49">
        <f t="shared" si="0"/>
        <v>0.72530474172288428</v>
      </c>
      <c r="AH49">
        <f t="shared" si="0"/>
        <v>0.72193240061283437</v>
      </c>
      <c r="AI49">
        <f t="shared" si="0"/>
        <v>0.72144850126598015</v>
      </c>
    </row>
    <row r="50" spans="2:35" x14ac:dyDescent="0.2">
      <c r="B50" t="s">
        <v>2</v>
      </c>
      <c r="C50">
        <f t="shared" si="1"/>
        <v>0.72246284340403444</v>
      </c>
      <c r="D50">
        <f t="shared" si="0"/>
        <v>0.72373046956316867</v>
      </c>
      <c r="E50">
        <f t="shared" si="0"/>
        <v>0.72295410088958723</v>
      </c>
      <c r="F50">
        <f t="shared" si="0"/>
        <v>0.72383206877548545</v>
      </c>
      <c r="G50">
        <f t="shared" si="0"/>
        <v>0.72525201194028488</v>
      </c>
      <c r="H50">
        <f t="shared" si="0"/>
        <v>0.72705127237793865</v>
      </c>
      <c r="I50">
        <f t="shared" si="0"/>
        <v>0.7286427432958299</v>
      </c>
      <c r="J50">
        <f t="shared" si="0"/>
        <v>0.72977419686743072</v>
      </c>
      <c r="K50">
        <f t="shared" si="0"/>
        <v>0.73050250123077809</v>
      </c>
      <c r="L50">
        <f t="shared" si="0"/>
        <v>0.72954375895989343</v>
      </c>
      <c r="M50">
        <f t="shared" si="0"/>
        <v>0.72860976179906223</v>
      </c>
      <c r="N50">
        <f t="shared" si="0"/>
        <v>0.72815245290856134</v>
      </c>
      <c r="O50">
        <f t="shared" si="0"/>
        <v>0.72702010692958641</v>
      </c>
      <c r="P50">
        <f t="shared" si="0"/>
        <v>0.72497046185444114</v>
      </c>
      <c r="Q50">
        <f t="shared" si="0"/>
        <v>0.72577120614442303</v>
      </c>
      <c r="R50">
        <f t="shared" si="0"/>
        <v>0.7169357438986137</v>
      </c>
      <c r="S50">
        <f t="shared" si="0"/>
        <v>0.71855646205174961</v>
      </c>
      <c r="T50">
        <f t="shared" si="0"/>
        <v>0.72010081446353613</v>
      </c>
      <c r="U50">
        <f t="shared" si="0"/>
        <v>0.72044003184303751</v>
      </c>
      <c r="V50">
        <f t="shared" si="0"/>
        <v>0.72024607264738794</v>
      </c>
      <c r="W50">
        <f t="shared" si="0"/>
        <v>0.72056039379023096</v>
      </c>
      <c r="X50">
        <f t="shared" si="0"/>
        <v>0.71999315244372164</v>
      </c>
      <c r="Y50">
        <f t="shared" si="0"/>
        <v>0.71940068980685068</v>
      </c>
      <c r="Z50">
        <f t="shared" si="0"/>
        <v>0.71931149565474761</v>
      </c>
      <c r="AA50">
        <f t="shared" si="0"/>
        <v>0.71939321479144935</v>
      </c>
      <c r="AB50">
        <f t="shared" si="0"/>
        <v>0.71836200638179337</v>
      </c>
      <c r="AC50">
        <f t="shared" si="0"/>
        <v>0.71718974272883707</v>
      </c>
      <c r="AD50">
        <f t="shared" si="0"/>
        <v>0.71566167719147133</v>
      </c>
      <c r="AE50">
        <f t="shared" si="0"/>
        <v>0.71294654670547764</v>
      </c>
      <c r="AF50">
        <f t="shared" si="0"/>
        <v>0.70778869782834242</v>
      </c>
      <c r="AG50">
        <f t="shared" si="0"/>
        <v>0.70589721570565256</v>
      </c>
      <c r="AH50">
        <f t="shared" si="0"/>
        <v>0.70453768960010166</v>
      </c>
      <c r="AI50">
        <f t="shared" si="0"/>
        <v>0.70353485695858775</v>
      </c>
    </row>
    <row r="51" spans="2:35" x14ac:dyDescent="0.2">
      <c r="B51" t="s">
        <v>3</v>
      </c>
      <c r="C51">
        <f t="shared" si="1"/>
        <v>0.65010898293595332</v>
      </c>
      <c r="D51">
        <f t="shared" si="0"/>
        <v>0.65243741215103912</v>
      </c>
      <c r="E51">
        <f t="shared" si="0"/>
        <v>0.65323553098704368</v>
      </c>
      <c r="F51">
        <f t="shared" si="0"/>
        <v>0.65520965443286994</v>
      </c>
      <c r="G51">
        <f t="shared" si="0"/>
        <v>0.65706182545125846</v>
      </c>
      <c r="H51">
        <f t="shared" si="0"/>
        <v>0.65908820557208958</v>
      </c>
      <c r="I51">
        <f t="shared" si="0"/>
        <v>0.66109449406937359</v>
      </c>
      <c r="J51">
        <f t="shared" si="0"/>
        <v>0.66215198436526801</v>
      </c>
      <c r="K51">
        <f t="shared" si="0"/>
        <v>0.66366860536286965</v>
      </c>
      <c r="L51">
        <f t="shared" si="0"/>
        <v>0.66424088915929835</v>
      </c>
      <c r="M51">
        <f t="shared" si="0"/>
        <v>0.6642693229069162</v>
      </c>
      <c r="N51">
        <f t="shared" si="0"/>
        <v>0.66292337816349323</v>
      </c>
      <c r="O51">
        <f t="shared" si="0"/>
        <v>0.66145553721446759</v>
      </c>
      <c r="P51">
        <f t="shared" si="0"/>
        <v>0.65942527892084812</v>
      </c>
      <c r="Q51">
        <f t="shared" si="0"/>
        <v>0.6602435090333838</v>
      </c>
      <c r="R51">
        <f t="shared" si="0"/>
        <v>0.66765830205668342</v>
      </c>
      <c r="S51">
        <f t="shared" si="0"/>
        <v>0.66802148835358621</v>
      </c>
      <c r="T51">
        <f t="shared" si="0"/>
        <v>0.66937561356208874</v>
      </c>
      <c r="U51">
        <f t="shared" si="0"/>
        <v>0.6700266009123752</v>
      </c>
      <c r="V51">
        <f t="shared" si="0"/>
        <v>0.66925949079530356</v>
      </c>
      <c r="W51">
        <f t="shared" si="0"/>
        <v>0.66923785343217812</v>
      </c>
      <c r="X51">
        <f t="shared" si="0"/>
        <v>0.66740768891863445</v>
      </c>
      <c r="Y51">
        <f t="shared" si="0"/>
        <v>0.66625069351998256</v>
      </c>
      <c r="Z51">
        <f t="shared" si="0"/>
        <v>0.66622556750060946</v>
      </c>
      <c r="AA51">
        <f t="shared" si="0"/>
        <v>0.66539806861298478</v>
      </c>
      <c r="AB51">
        <f t="shared" si="0"/>
        <v>0.66484248230693688</v>
      </c>
      <c r="AC51">
        <f t="shared" si="0"/>
        <v>0.66237074633528559</v>
      </c>
      <c r="AD51">
        <f t="shared" si="0"/>
        <v>0.6598683092199582</v>
      </c>
      <c r="AE51">
        <f t="shared" si="0"/>
        <v>0.65911227897994396</v>
      </c>
      <c r="AF51">
        <f t="shared" si="0"/>
        <v>0.64820310622015065</v>
      </c>
      <c r="AG51">
        <f t="shared" si="0"/>
        <v>0.6450105510279972</v>
      </c>
      <c r="AH51">
        <f t="shared" si="0"/>
        <v>0.64327945984110879</v>
      </c>
      <c r="AI51">
        <f t="shared" si="0"/>
        <v>0.64260017257782598</v>
      </c>
    </row>
    <row r="52" spans="2:35" x14ac:dyDescent="0.2">
      <c r="B52" t="s">
        <v>4</v>
      </c>
      <c r="C52">
        <f t="shared" si="1"/>
        <v>0.70484018950660021</v>
      </c>
      <c r="D52">
        <f t="shared" si="0"/>
        <v>0.70595775895833779</v>
      </c>
      <c r="E52">
        <f t="shared" si="0"/>
        <v>0.70539299543110889</v>
      </c>
      <c r="F52">
        <f t="shared" si="0"/>
        <v>0.7069380508944354</v>
      </c>
      <c r="G52">
        <f t="shared" si="0"/>
        <v>0.7086769615644043</v>
      </c>
      <c r="H52">
        <f t="shared" si="0"/>
        <v>0.70992416061798835</v>
      </c>
      <c r="I52">
        <f t="shared" si="0"/>
        <v>0.71170752481788491</v>
      </c>
      <c r="J52">
        <f t="shared" si="0"/>
        <v>0.71394028999535297</v>
      </c>
      <c r="K52">
        <f t="shared" si="0"/>
        <v>0.71477063194458579</v>
      </c>
      <c r="L52">
        <f t="shared" si="0"/>
        <v>0.71541703409268809</v>
      </c>
      <c r="M52">
        <f t="shared" si="0"/>
        <v>0.71631401423412966</v>
      </c>
      <c r="N52">
        <f t="shared" si="0"/>
        <v>0.71462086418769788</v>
      </c>
      <c r="O52">
        <f t="shared" si="0"/>
        <v>0.71323683864028309</v>
      </c>
      <c r="P52">
        <f t="shared" si="0"/>
        <v>0.71083278949860529</v>
      </c>
      <c r="Q52">
        <f t="shared" si="0"/>
        <v>0.71085849718522731</v>
      </c>
      <c r="R52">
        <f t="shared" si="0"/>
        <v>0.71890921973035049</v>
      </c>
      <c r="S52">
        <f t="shared" si="0"/>
        <v>0.71883675881819475</v>
      </c>
      <c r="T52">
        <f t="shared" si="0"/>
        <v>0.7208043800238445</v>
      </c>
      <c r="U52">
        <f t="shared" si="0"/>
        <v>0.72094529767282256</v>
      </c>
      <c r="V52">
        <f t="shared" si="0"/>
        <v>0.72097648807654457</v>
      </c>
      <c r="W52">
        <f t="shared" si="0"/>
        <v>0.72140008213666706</v>
      </c>
      <c r="X52">
        <f t="shared" si="0"/>
        <v>0.7187158564414633</v>
      </c>
      <c r="Y52">
        <f t="shared" si="0"/>
        <v>0.71602219435521275</v>
      </c>
      <c r="Z52">
        <f t="shared" si="0"/>
        <v>0.71270912485876281</v>
      </c>
      <c r="AA52">
        <f t="shared" si="0"/>
        <v>0.71076616928938663</v>
      </c>
      <c r="AB52">
        <f t="shared" si="0"/>
        <v>0.70835443550837673</v>
      </c>
      <c r="AC52">
        <f t="shared" si="0"/>
        <v>0.70604209324963918</v>
      </c>
      <c r="AD52">
        <f t="shared" si="0"/>
        <v>0.7019546624595201</v>
      </c>
      <c r="AE52">
        <f t="shared" si="0"/>
        <v>0.69695805126082711</v>
      </c>
      <c r="AF52">
        <f t="shared" si="0"/>
        <v>0.68996459372418961</v>
      </c>
      <c r="AG52">
        <f t="shared" si="0"/>
        <v>0.68834609995774465</v>
      </c>
      <c r="AH52">
        <f t="shared" si="0"/>
        <v>0.68721383433609562</v>
      </c>
      <c r="AI52">
        <f t="shared" si="0"/>
        <v>0.68611206200751851</v>
      </c>
    </row>
  </sheetData>
  <mergeCells count="11">
    <mergeCell ref="A29:B30"/>
    <mergeCell ref="C29:Q30"/>
    <mergeCell ref="R29:T30"/>
    <mergeCell ref="U29:AI30"/>
    <mergeCell ref="A45:B46"/>
    <mergeCell ref="C45:Q46"/>
    <mergeCell ref="R45:T46"/>
    <mergeCell ref="U45:AI46"/>
    <mergeCell ref="C3:Q4"/>
    <mergeCell ref="U3:AI4"/>
    <mergeCell ref="A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Nelgy Skov Wohlert</dc:creator>
  <cp:lastModifiedBy>Felix Nelgy Skov Wohlert</cp:lastModifiedBy>
  <dcterms:created xsi:type="dcterms:W3CDTF">2026-05-08T09:04:28Z</dcterms:created>
  <dcterms:modified xsi:type="dcterms:W3CDTF">2026-05-08T09:45:33Z</dcterms:modified>
</cp:coreProperties>
</file>