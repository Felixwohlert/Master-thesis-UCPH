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felixwohlert/Desktop/Speciale/Code for thesis/Data/"/>
    </mc:Choice>
  </mc:AlternateContent>
  <xr:revisionPtr revIDLastSave="0" documentId="13_ncr:1_{E4BA6056-58C4-8F44-B523-D0A8FF550D66}" xr6:coauthVersionLast="47" xr6:coauthVersionMax="47" xr10:uidLastSave="{00000000-0000-0000-0000-000000000000}"/>
  <bookViews>
    <workbookView xWindow="0" yWindow="500" windowWidth="28800" windowHeight="16360" xr2:uid="{00000000-000D-0000-FFFF-FFFF00000000}"/>
  </bookViews>
  <sheets>
    <sheet name="FORMUE1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2" l="1"/>
  <c r="F48" i="2"/>
  <c r="G47" i="2"/>
  <c r="H47" i="2"/>
  <c r="I47" i="2"/>
  <c r="K47" i="2"/>
  <c r="G71" i="2"/>
  <c r="H71" i="2"/>
  <c r="I71" i="2"/>
  <c r="G72" i="2"/>
  <c r="H72" i="2"/>
  <c r="I72" i="2"/>
  <c r="I70" i="2"/>
  <c r="H70" i="2"/>
  <c r="G70" i="2"/>
  <c r="F72" i="2"/>
  <c r="F71" i="2"/>
  <c r="F70" i="2"/>
  <c r="L66" i="2"/>
  <c r="L65" i="2"/>
  <c r="L64" i="2"/>
  <c r="L63" i="2"/>
  <c r="L62" i="2"/>
  <c r="L61" i="2"/>
  <c r="M59" i="2"/>
  <c r="N59" i="2"/>
  <c r="O59" i="2"/>
  <c r="P59" i="2"/>
  <c r="L59" i="2"/>
  <c r="L36" i="2"/>
  <c r="M55" i="2"/>
  <c r="N55" i="2"/>
  <c r="O55" i="2"/>
  <c r="P55" i="2"/>
  <c r="M56" i="2"/>
  <c r="N56" i="2"/>
  <c r="O56" i="2"/>
  <c r="P56" i="2"/>
  <c r="M57" i="2"/>
  <c r="N57" i="2"/>
  <c r="O57" i="2"/>
  <c r="P57" i="2"/>
  <c r="M58" i="2"/>
  <c r="N58" i="2"/>
  <c r="O58" i="2"/>
  <c r="P58" i="2"/>
  <c r="M60" i="2"/>
  <c r="N60" i="2"/>
  <c r="O60" i="2"/>
  <c r="O66" i="2" s="1"/>
  <c r="P60" i="2"/>
  <c r="M61" i="2"/>
  <c r="N61" i="2"/>
  <c r="O61" i="2"/>
  <c r="P61" i="2"/>
  <c r="M62" i="2"/>
  <c r="N62" i="2"/>
  <c r="O62" i="2"/>
  <c r="P62" i="2"/>
  <c r="M63" i="2"/>
  <c r="M66" i="2" s="1"/>
  <c r="N63" i="2"/>
  <c r="O63" i="2"/>
  <c r="P63" i="2"/>
  <c r="M64" i="2"/>
  <c r="N64" i="2"/>
  <c r="O64" i="2"/>
  <c r="P64" i="2"/>
  <c r="M65" i="2"/>
  <c r="N65" i="2"/>
  <c r="O65" i="2"/>
  <c r="P65" i="2"/>
  <c r="N66" i="2"/>
  <c r="P66" i="2"/>
  <c r="L42" i="2"/>
  <c r="L41" i="2"/>
  <c r="L40" i="2"/>
  <c r="L39" i="2"/>
  <c r="L38" i="2"/>
  <c r="L60" i="2"/>
  <c r="L37" i="2"/>
  <c r="M36" i="2"/>
  <c r="L58" i="2"/>
  <c r="L35" i="2"/>
  <c r="L57" i="2"/>
  <c r="L34" i="2"/>
  <c r="L56" i="2"/>
  <c r="L33" i="2"/>
  <c r="L55" i="2"/>
  <c r="L32" i="2"/>
  <c r="K48" i="2"/>
  <c r="K49" i="2"/>
  <c r="G48" i="2"/>
  <c r="H48" i="2"/>
  <c r="I48" i="2"/>
  <c r="G49" i="2"/>
  <c r="H49" i="2"/>
  <c r="I49" i="2"/>
  <c r="F49" i="2"/>
  <c r="F42" i="2"/>
  <c r="G42" i="2"/>
  <c r="H42" i="2"/>
  <c r="I42" i="2"/>
  <c r="J42" i="2"/>
  <c r="K42" i="2"/>
  <c r="M42" i="2"/>
  <c r="N42" i="2"/>
  <c r="O42" i="2"/>
  <c r="P42" i="2"/>
  <c r="F43" i="2"/>
  <c r="G43" i="2"/>
  <c r="H43" i="2"/>
  <c r="I43" i="2"/>
  <c r="J43" i="2"/>
  <c r="K43" i="2"/>
  <c r="L43" i="2"/>
  <c r="M43" i="2"/>
  <c r="N43" i="2"/>
  <c r="O43" i="2"/>
  <c r="P43" i="2"/>
  <c r="G41" i="2"/>
  <c r="H41" i="2"/>
  <c r="I41" i="2"/>
  <c r="J41" i="2"/>
  <c r="K41" i="2"/>
  <c r="M41" i="2"/>
  <c r="N41" i="2"/>
  <c r="O41" i="2"/>
  <c r="P41" i="2"/>
  <c r="F41" i="2"/>
  <c r="G38" i="2"/>
  <c r="H38" i="2"/>
  <c r="I38" i="2"/>
  <c r="J38" i="2"/>
  <c r="K38" i="2"/>
  <c r="M38" i="2"/>
  <c r="N38" i="2"/>
  <c r="O38" i="2"/>
  <c r="P38" i="2"/>
  <c r="G39" i="2"/>
  <c r="H39" i="2"/>
  <c r="I39" i="2"/>
  <c r="J39" i="2"/>
  <c r="K39" i="2"/>
  <c r="M39" i="2"/>
  <c r="N39" i="2"/>
  <c r="O39" i="2"/>
  <c r="P39" i="2"/>
  <c r="G40" i="2"/>
  <c r="H40" i="2"/>
  <c r="I40" i="2"/>
  <c r="J40" i="2"/>
  <c r="K40" i="2"/>
  <c r="M40" i="2"/>
  <c r="N40" i="2"/>
  <c r="O40" i="2"/>
  <c r="P40" i="2"/>
  <c r="F40" i="2"/>
  <c r="F39" i="2"/>
  <c r="F38" i="2"/>
  <c r="G35" i="2"/>
  <c r="H35" i="2"/>
  <c r="I35" i="2"/>
  <c r="J35" i="2"/>
  <c r="K35" i="2"/>
  <c r="M35" i="2"/>
  <c r="N35" i="2"/>
  <c r="O35" i="2"/>
  <c r="P35" i="2"/>
  <c r="G36" i="2"/>
  <c r="H36" i="2"/>
  <c r="I36" i="2"/>
  <c r="J36" i="2"/>
  <c r="K36" i="2"/>
  <c r="N36" i="2"/>
  <c r="O36" i="2"/>
  <c r="P36" i="2"/>
  <c r="G37" i="2"/>
  <c r="H37" i="2"/>
  <c r="I37" i="2"/>
  <c r="J37" i="2"/>
  <c r="K37" i="2"/>
  <c r="M37" i="2"/>
  <c r="N37" i="2"/>
  <c r="O37" i="2"/>
  <c r="P37" i="2"/>
  <c r="F36" i="2"/>
  <c r="F37" i="2"/>
  <c r="F35" i="2"/>
  <c r="F32" i="2"/>
  <c r="G26" i="2"/>
  <c r="H26" i="2"/>
  <c r="I26" i="2"/>
  <c r="J26" i="2"/>
  <c r="K26" i="2"/>
  <c r="L26" i="2"/>
  <c r="M26" i="2"/>
  <c r="N26" i="2"/>
  <c r="O26" i="2"/>
  <c r="P26" i="2"/>
  <c r="G27" i="2"/>
  <c r="H27" i="2"/>
  <c r="I27" i="2"/>
  <c r="J27" i="2"/>
  <c r="K27" i="2"/>
  <c r="L27" i="2"/>
  <c r="M27" i="2"/>
  <c r="N27" i="2"/>
  <c r="O27" i="2"/>
  <c r="P27" i="2"/>
  <c r="G28" i="2"/>
  <c r="H28" i="2"/>
  <c r="I28" i="2"/>
  <c r="J28" i="2"/>
  <c r="K28" i="2"/>
  <c r="L28" i="2"/>
  <c r="M28" i="2"/>
  <c r="N28" i="2"/>
  <c r="O28" i="2"/>
  <c r="P28" i="2"/>
  <c r="F28" i="2"/>
  <c r="F27" i="2"/>
  <c r="F26" i="2"/>
  <c r="G33" i="2"/>
  <c r="H33" i="2"/>
  <c r="I33" i="2"/>
  <c r="J33" i="2"/>
  <c r="K33" i="2"/>
  <c r="M33" i="2"/>
  <c r="N33" i="2"/>
  <c r="O33" i="2"/>
  <c r="P33" i="2"/>
  <c r="G34" i="2"/>
  <c r="H34" i="2"/>
  <c r="I34" i="2"/>
  <c r="J34" i="2"/>
  <c r="K34" i="2"/>
  <c r="M34" i="2"/>
  <c r="N34" i="2"/>
  <c r="O34" i="2"/>
  <c r="P34" i="2"/>
  <c r="F34" i="2"/>
  <c r="F33" i="2"/>
  <c r="G32" i="2"/>
  <c r="H32" i="2"/>
  <c r="I32" i="2"/>
  <c r="J32" i="2"/>
  <c r="K32" i="2"/>
  <c r="M32" i="2"/>
  <c r="N32" i="2"/>
  <c r="O32" i="2"/>
  <c r="P32" i="2"/>
  <c r="K70" i="2" l="1"/>
  <c r="K71" i="2"/>
  <c r="K72" i="2"/>
</calcChain>
</file>

<file path=xl/sharedStrings.xml><?xml version="1.0" encoding="utf-8"?>
<sst xmlns="http://schemas.openxmlformats.org/spreadsheetml/2006/main" count="147" uniqueCount="46">
  <si>
    <t>Formue efter population, køn, alder, enhed, formuetype og tid</t>
  </si>
  <si>
    <t>Enhed: -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</si>
  <si>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</si>
  <si>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</si>
  <si>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</si>
  <si>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</si>
  <si>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</si>
  <si>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</si>
  <si>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</si>
  <si>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</si>
  <si>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</si>
  <si>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</si>
  <si>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</si>
  <si>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Alle uanset om de har formuetypen</t>
  </si>
  <si>
    <t>Mænd og kvinder i alt</t>
  </si>
  <si>
    <t>18 år og derover</t>
  </si>
  <si>
    <t>Median, faste priser (seneste dataårs prisniveau)</t>
  </si>
  <si>
    <t>A. Reale aktiver i alt</t>
  </si>
  <si>
    <t>B. Finansiel formue i alt (2020-defintion)</t>
  </si>
  <si>
    <t>..</t>
  </si>
  <si>
    <t>B. Finansiel formue i alt (2014-definition ekskl. B6)</t>
  </si>
  <si>
    <t>C. Pensionsformuer i alt</t>
  </si>
  <si>
    <t>Passiver I alt (2020-definition D+E+F)</t>
  </si>
  <si>
    <t>Passiver I alt (2014-definition D+E+F-F3)</t>
  </si>
  <si>
    <t>D.1. Kreditforeningsgæld (opgjort til kursværdi)</t>
  </si>
  <si>
    <t>Øvre kvartil, faste priser (seneste dataårs prisniveau)</t>
  </si>
  <si>
    <t>Gennemsnit, faste priser (seneste dataårs prisniveau)</t>
  </si>
  <si>
    <t xml:space="preserve">Der er et databrud på markedsværdier af ejendomme (A1 til A4) i mellem 2023 og 2024. Se bilag til statistikdokoumentationen herom. 2023-data om værdi af boliger, biler og unoterede aktier er revideret i forbindelse med offentliggørelsen d. 27. november 2025. </t>
  </si>
  <si>
    <t>2014-definition</t>
  </si>
  <si>
    <t>Median</t>
  </si>
  <si>
    <t>Average</t>
  </si>
  <si>
    <t>Upper quartile</t>
  </si>
  <si>
    <t>Net wealth increase</t>
  </si>
  <si>
    <t>Due to</t>
  </si>
  <si>
    <t>Pensions</t>
  </si>
  <si>
    <t>Housing</t>
  </si>
  <si>
    <t>Equity and fixed income</t>
  </si>
  <si>
    <t>Housing net of mortgages</t>
  </si>
  <si>
    <t>Kontrol: nettoformue</t>
  </si>
  <si>
    <t>Total</t>
  </si>
  <si>
    <t>Reale aktive (A) - kreditforeningsgæld (D.1)</t>
  </si>
  <si>
    <t>Equity and fixed income assets net of non-mortgage debt</t>
  </si>
  <si>
    <t>Finansielle aktiver (B - 2014-definition) - Passiver i alt (D+E+F - 2014-definition) + kreditforeningsgæld (D.1)</t>
  </si>
  <si>
    <t>Pensions + housing + equity&amp;FI</t>
  </si>
  <si>
    <t>2020-definition</t>
  </si>
  <si>
    <t>Finansielle aktiver (B - 2020-definition) - Passiver i alt (D+E+F - 2020-definition) + kreditforeningsgæld (D.1)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</si>
</sst>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07A"/>
        <bgColor rgb="FFFFA07A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horizontal="left"/>
    </xf>
    <xf numFmtId="2" fontId="3" fillId="0" borderId="0" xfId="0" applyNumberFormat="1" applyFont="1"/>
    <xf numFmtId="2" fontId="0" fillId="0" borderId="0" xfId="0" applyNumberForma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2"/>
  <sheetViews>
    <sheetView tabSelected="1" topLeftCell="B29" zoomScale="150" workbookViewId="0">
      <selection activeCell="D49" sqref="D49"/>
    </sheetView>
  </sheetViews>
  <sheetFormatPr baseColWidth="10" defaultColWidth="8.83203125" defaultRowHeight="15" x14ac:dyDescent="0.2"/>
  <cols>
    <col min="1" max="1" width="40.6640625" customWidth="1"/>
    <col min="2" max="2" width="22.33203125" customWidth="1"/>
    <col min="3" max="3" width="17.1640625" customWidth="1"/>
    <col min="4" max="5" width="40.6640625" customWidth="1"/>
    <col min="6" max="16" width="9" customWidth="1"/>
  </cols>
  <sheetData>
    <row r="1" spans="1:16" ht="17" x14ac:dyDescent="0.2">
      <c r="A1" s="1" t="s">
        <v>0</v>
      </c>
    </row>
    <row r="2" spans="1:16" x14ac:dyDescent="0.2">
      <c r="A2" s="2" t="s">
        <v>1</v>
      </c>
    </row>
    <row r="3" spans="1:16" x14ac:dyDescent="0.2">
      <c r="F3" s="3" t="s">
        <v>2</v>
      </c>
      <c r="G3" s="3" t="s">
        <v>3</v>
      </c>
      <c r="H3" s="3" t="s">
        <v>4</v>
      </c>
      <c r="I3" s="3" t="s">
        <v>5</v>
      </c>
      <c r="J3" s="3" t="s">
        <v>6</v>
      </c>
      <c r="K3" s="3" t="s">
        <v>7</v>
      </c>
      <c r="L3" s="3" t="s">
        <v>8</v>
      </c>
      <c r="M3" s="3" t="s">
        <v>9</v>
      </c>
      <c r="N3" s="3" t="s">
        <v>10</v>
      </c>
      <c r="O3" s="3" t="s">
        <v>11</v>
      </c>
      <c r="P3" s="3" t="s">
        <v>12</v>
      </c>
    </row>
    <row r="4" spans="1:16" x14ac:dyDescent="0.2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4">
        <v>354324</v>
      </c>
      <c r="G4" s="4">
        <v>347119</v>
      </c>
      <c r="H4" s="4">
        <v>339250</v>
      </c>
      <c r="I4" s="4">
        <v>345629</v>
      </c>
      <c r="J4" s="4">
        <v>353239</v>
      </c>
      <c r="K4" s="4">
        <v>363970</v>
      </c>
      <c r="L4" s="4">
        <v>381664</v>
      </c>
      <c r="M4" s="4">
        <v>381590</v>
      </c>
      <c r="N4" s="4">
        <v>317409</v>
      </c>
      <c r="O4" s="4">
        <v>331382</v>
      </c>
      <c r="P4" s="4">
        <v>270945</v>
      </c>
    </row>
    <row r="5" spans="1:16" x14ac:dyDescent="0.2">
      <c r="E5" s="3" t="s">
        <v>18</v>
      </c>
      <c r="F5" s="5" t="s">
        <v>19</v>
      </c>
      <c r="G5" s="5" t="s">
        <v>19</v>
      </c>
      <c r="H5" s="5" t="s">
        <v>19</v>
      </c>
      <c r="I5" s="5" t="s">
        <v>19</v>
      </c>
      <c r="J5" s="5" t="s">
        <v>19</v>
      </c>
      <c r="K5" s="5" t="s">
        <v>19</v>
      </c>
      <c r="L5" s="4">
        <v>86819</v>
      </c>
      <c r="M5" s="4">
        <v>91025</v>
      </c>
      <c r="N5" s="4">
        <v>80589</v>
      </c>
      <c r="O5" s="4">
        <v>82625</v>
      </c>
      <c r="P5" s="4">
        <v>86747</v>
      </c>
    </row>
    <row r="6" spans="1:16" x14ac:dyDescent="0.2">
      <c r="E6" s="3" t="s">
        <v>20</v>
      </c>
      <c r="F6" s="4">
        <v>46318</v>
      </c>
      <c r="G6" s="4">
        <v>48838</v>
      </c>
      <c r="H6" s="4">
        <v>51677</v>
      </c>
      <c r="I6" s="4">
        <v>54439</v>
      </c>
      <c r="J6" s="4">
        <v>58808</v>
      </c>
      <c r="K6" s="4">
        <v>63332</v>
      </c>
      <c r="L6" s="4">
        <v>84235</v>
      </c>
      <c r="M6" s="4">
        <v>87805</v>
      </c>
      <c r="N6" s="4">
        <v>77526</v>
      </c>
      <c r="O6" s="4">
        <v>79325</v>
      </c>
      <c r="P6" s="4">
        <v>83171</v>
      </c>
    </row>
    <row r="7" spans="1:16" x14ac:dyDescent="0.2">
      <c r="E7" s="3" t="s">
        <v>21</v>
      </c>
      <c r="F7" s="4">
        <v>491104</v>
      </c>
      <c r="G7" s="4">
        <v>495684</v>
      </c>
      <c r="H7" s="4">
        <v>526100</v>
      </c>
      <c r="I7" s="4">
        <v>539524</v>
      </c>
      <c r="J7" s="4">
        <v>533314</v>
      </c>
      <c r="K7" s="4">
        <v>593361</v>
      </c>
      <c r="L7" s="4">
        <v>634534</v>
      </c>
      <c r="M7" s="4">
        <v>644519</v>
      </c>
      <c r="N7" s="4">
        <v>494639</v>
      </c>
      <c r="O7" s="4">
        <v>519612</v>
      </c>
      <c r="P7" s="4">
        <v>536620</v>
      </c>
    </row>
    <row r="8" spans="1:16" x14ac:dyDescent="0.2">
      <c r="E8" s="3" t="s">
        <v>22</v>
      </c>
      <c r="F8" s="5" t="s">
        <v>19</v>
      </c>
      <c r="G8" s="5" t="s">
        <v>19</v>
      </c>
      <c r="H8" s="5" t="s">
        <v>19</v>
      </c>
      <c r="I8" s="5" t="s">
        <v>19</v>
      </c>
      <c r="J8" s="5" t="s">
        <v>19</v>
      </c>
      <c r="K8" s="5" t="s">
        <v>19</v>
      </c>
      <c r="L8" s="4">
        <v>187582</v>
      </c>
      <c r="M8" s="4">
        <v>185338</v>
      </c>
      <c r="N8" s="4">
        <v>152307</v>
      </c>
      <c r="O8" s="4">
        <v>132986</v>
      </c>
      <c r="P8" s="4">
        <v>117118</v>
      </c>
    </row>
    <row r="9" spans="1:16" x14ac:dyDescent="0.2">
      <c r="E9" s="3" t="s">
        <v>23</v>
      </c>
      <c r="F9" s="4">
        <v>168389</v>
      </c>
      <c r="G9" s="4">
        <v>165836</v>
      </c>
      <c r="H9" s="4">
        <v>163117</v>
      </c>
      <c r="I9" s="4">
        <v>157150</v>
      </c>
      <c r="J9" s="4">
        <v>157863</v>
      </c>
      <c r="K9" s="4">
        <v>155998</v>
      </c>
      <c r="L9" s="4">
        <v>149179</v>
      </c>
      <c r="M9" s="4">
        <v>150539</v>
      </c>
      <c r="N9" s="4">
        <v>120533</v>
      </c>
      <c r="O9" s="4">
        <v>101490</v>
      </c>
      <c r="P9" s="4">
        <v>88310</v>
      </c>
    </row>
    <row r="10" spans="1:16" x14ac:dyDescent="0.2">
      <c r="E10" s="3" t="s">
        <v>24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</row>
    <row r="11" spans="1:16" x14ac:dyDescent="0.2">
      <c r="D11" s="3" t="s">
        <v>25</v>
      </c>
      <c r="E11" s="3" t="s">
        <v>17</v>
      </c>
      <c r="F11" s="4">
        <v>1319862</v>
      </c>
      <c r="G11" s="4">
        <v>1374737</v>
      </c>
      <c r="H11" s="4">
        <v>1411990</v>
      </c>
      <c r="I11" s="4">
        <v>1454634</v>
      </c>
      <c r="J11" s="4">
        <v>1492046</v>
      </c>
      <c r="K11" s="4">
        <v>1520275</v>
      </c>
      <c r="L11" s="4">
        <v>1562080</v>
      </c>
      <c r="M11" s="4">
        <v>1608626</v>
      </c>
      <c r="N11" s="4">
        <v>1423870</v>
      </c>
      <c r="O11" s="4">
        <v>1474985</v>
      </c>
      <c r="P11" s="4">
        <v>1527357</v>
      </c>
    </row>
    <row r="12" spans="1:16" x14ac:dyDescent="0.2">
      <c r="E12" s="3" t="s">
        <v>18</v>
      </c>
      <c r="F12" s="5" t="s">
        <v>19</v>
      </c>
      <c r="G12" s="5" t="s">
        <v>19</v>
      </c>
      <c r="H12" s="5" t="s">
        <v>19</v>
      </c>
      <c r="I12" s="5" t="s">
        <v>19</v>
      </c>
      <c r="J12" s="5" t="s">
        <v>19</v>
      </c>
      <c r="K12" s="5" t="s">
        <v>19</v>
      </c>
      <c r="L12" s="4">
        <v>306376</v>
      </c>
      <c r="M12" s="4">
        <v>321907</v>
      </c>
      <c r="N12" s="4">
        <v>294552</v>
      </c>
      <c r="O12" s="4">
        <v>309927</v>
      </c>
      <c r="P12" s="4">
        <v>328349</v>
      </c>
    </row>
    <row r="13" spans="1:16" x14ac:dyDescent="0.2">
      <c r="E13" s="3" t="s">
        <v>20</v>
      </c>
      <c r="F13" s="4">
        <v>203278</v>
      </c>
      <c r="G13" s="4">
        <v>210708</v>
      </c>
      <c r="H13" s="4">
        <v>217829</v>
      </c>
      <c r="I13" s="4">
        <v>225798</v>
      </c>
      <c r="J13" s="4">
        <v>233106</v>
      </c>
      <c r="K13" s="4">
        <v>250203</v>
      </c>
      <c r="L13" s="4">
        <v>289777</v>
      </c>
      <c r="M13" s="4">
        <v>300303</v>
      </c>
      <c r="N13" s="4">
        <v>273836</v>
      </c>
      <c r="O13" s="4">
        <v>287021</v>
      </c>
      <c r="P13" s="4">
        <v>303494</v>
      </c>
    </row>
    <row r="14" spans="1:16" x14ac:dyDescent="0.2">
      <c r="E14" s="3" t="s">
        <v>21</v>
      </c>
      <c r="F14" s="4">
        <v>1259223</v>
      </c>
      <c r="G14" s="4">
        <v>1273776</v>
      </c>
      <c r="H14" s="4">
        <v>1362285</v>
      </c>
      <c r="I14" s="4">
        <v>1426156</v>
      </c>
      <c r="J14" s="4">
        <v>1412565</v>
      </c>
      <c r="K14" s="4">
        <v>1582297</v>
      </c>
      <c r="L14" s="4">
        <v>1686908</v>
      </c>
      <c r="M14" s="4">
        <v>1764308</v>
      </c>
      <c r="N14" s="4">
        <v>1411450</v>
      </c>
      <c r="O14" s="4">
        <v>1505596</v>
      </c>
      <c r="P14" s="4">
        <v>1585344</v>
      </c>
    </row>
    <row r="15" spans="1:16" x14ac:dyDescent="0.2">
      <c r="E15" s="3" t="s">
        <v>22</v>
      </c>
      <c r="F15" s="5" t="s">
        <v>19</v>
      </c>
      <c r="G15" s="5" t="s">
        <v>19</v>
      </c>
      <c r="H15" s="5" t="s">
        <v>19</v>
      </c>
      <c r="I15" s="5" t="s">
        <v>19</v>
      </c>
      <c r="J15" s="5" t="s">
        <v>19</v>
      </c>
      <c r="K15" s="5" t="s">
        <v>19</v>
      </c>
      <c r="L15" s="4">
        <v>921999</v>
      </c>
      <c r="M15" s="4">
        <v>897132</v>
      </c>
      <c r="N15" s="4">
        <v>739902</v>
      </c>
      <c r="O15" s="4">
        <v>750175</v>
      </c>
      <c r="P15" s="4">
        <v>746402</v>
      </c>
    </row>
    <row r="16" spans="1:16" x14ac:dyDescent="0.2">
      <c r="E16" s="3" t="s">
        <v>23</v>
      </c>
      <c r="F16" s="4">
        <v>889233</v>
      </c>
      <c r="G16" s="4">
        <v>877351</v>
      </c>
      <c r="H16" s="4">
        <v>882333</v>
      </c>
      <c r="I16" s="4">
        <v>879480</v>
      </c>
      <c r="J16" s="4">
        <v>878854</v>
      </c>
      <c r="K16" s="4">
        <v>883471</v>
      </c>
      <c r="L16" s="4">
        <v>898189</v>
      </c>
      <c r="M16" s="4">
        <v>869391</v>
      </c>
      <c r="N16" s="4">
        <v>712729</v>
      </c>
      <c r="O16" s="4">
        <v>720590</v>
      </c>
      <c r="P16" s="4">
        <v>716092</v>
      </c>
    </row>
    <row r="17" spans="1:16" x14ac:dyDescent="0.2">
      <c r="E17" s="3" t="s">
        <v>24</v>
      </c>
      <c r="F17" s="4">
        <v>660021</v>
      </c>
      <c r="G17" s="4">
        <v>639780</v>
      </c>
      <c r="H17" s="4">
        <v>632804</v>
      </c>
      <c r="I17" s="4">
        <v>626636</v>
      </c>
      <c r="J17" s="4">
        <v>626917</v>
      </c>
      <c r="K17" s="4">
        <v>650090</v>
      </c>
      <c r="L17" s="4">
        <v>677225</v>
      </c>
      <c r="M17" s="4">
        <v>658559</v>
      </c>
      <c r="N17" s="4">
        <v>507278</v>
      </c>
      <c r="O17" s="4">
        <v>517764</v>
      </c>
      <c r="P17" s="4">
        <v>511697</v>
      </c>
    </row>
    <row r="18" spans="1:16" x14ac:dyDescent="0.2">
      <c r="D18" s="3" t="s">
        <v>26</v>
      </c>
      <c r="E18" s="3" t="s">
        <v>17</v>
      </c>
      <c r="F18" s="4">
        <v>1000941</v>
      </c>
      <c r="G18" s="4">
        <v>1032640</v>
      </c>
      <c r="H18" s="4">
        <v>1049771</v>
      </c>
      <c r="I18" s="4">
        <v>1071226</v>
      </c>
      <c r="J18" s="4">
        <v>1095843</v>
      </c>
      <c r="K18" s="4">
        <v>1103092</v>
      </c>
      <c r="L18" s="4">
        <v>1132748</v>
      </c>
      <c r="M18" s="4">
        <v>1153246</v>
      </c>
      <c r="N18" s="4">
        <v>1023572</v>
      </c>
      <c r="O18" s="4">
        <v>1071136</v>
      </c>
      <c r="P18" s="4">
        <v>1131865</v>
      </c>
    </row>
    <row r="19" spans="1:16" x14ac:dyDescent="0.2">
      <c r="E19" s="3" t="s">
        <v>18</v>
      </c>
      <c r="F19" s="5" t="s">
        <v>19</v>
      </c>
      <c r="G19" s="5" t="s">
        <v>19</v>
      </c>
      <c r="H19" s="5" t="s">
        <v>19</v>
      </c>
      <c r="I19" s="5" t="s">
        <v>19</v>
      </c>
      <c r="J19" s="5" t="s">
        <v>19</v>
      </c>
      <c r="K19" s="5" t="s">
        <v>19</v>
      </c>
      <c r="L19" s="4">
        <v>710141</v>
      </c>
      <c r="M19" s="4">
        <v>923419</v>
      </c>
      <c r="N19" s="4">
        <v>793151</v>
      </c>
      <c r="O19" s="4">
        <v>836644</v>
      </c>
      <c r="P19" s="4">
        <v>891064</v>
      </c>
    </row>
    <row r="20" spans="1:16" x14ac:dyDescent="0.2">
      <c r="E20" s="3" t="s">
        <v>20</v>
      </c>
      <c r="F20" s="4">
        <v>319093</v>
      </c>
      <c r="G20" s="4">
        <v>339895</v>
      </c>
      <c r="H20" s="4">
        <v>343382</v>
      </c>
      <c r="I20" s="4">
        <v>361402</v>
      </c>
      <c r="J20" s="4">
        <v>357184</v>
      </c>
      <c r="K20" s="4">
        <v>389308</v>
      </c>
      <c r="L20" s="4">
        <v>430832</v>
      </c>
      <c r="M20" s="4">
        <v>465282</v>
      </c>
      <c r="N20" s="4">
        <v>409747</v>
      </c>
      <c r="O20" s="4">
        <v>445427</v>
      </c>
      <c r="P20" s="4">
        <v>461647</v>
      </c>
    </row>
    <row r="21" spans="1:16" x14ac:dyDescent="0.2">
      <c r="E21" s="3" t="s">
        <v>21</v>
      </c>
      <c r="F21" s="4">
        <v>1044350</v>
      </c>
      <c r="G21" s="4">
        <v>1041430</v>
      </c>
      <c r="H21" s="4">
        <v>1084072</v>
      </c>
      <c r="I21" s="4">
        <v>1116337</v>
      </c>
      <c r="J21" s="4">
        <v>1093623</v>
      </c>
      <c r="K21" s="4">
        <v>1196994</v>
      </c>
      <c r="L21" s="4">
        <v>1255003</v>
      </c>
      <c r="M21" s="4">
        <v>1290332</v>
      </c>
      <c r="N21" s="4">
        <v>1038412</v>
      </c>
      <c r="O21" s="4">
        <v>1098664</v>
      </c>
      <c r="P21" s="4">
        <v>1142550</v>
      </c>
    </row>
    <row r="22" spans="1:16" x14ac:dyDescent="0.2">
      <c r="E22" s="3" t="s">
        <v>22</v>
      </c>
      <c r="F22" s="5" t="s">
        <v>19</v>
      </c>
      <c r="G22" s="5" t="s">
        <v>19</v>
      </c>
      <c r="H22" s="5" t="s">
        <v>19</v>
      </c>
      <c r="I22" s="5" t="s">
        <v>19</v>
      </c>
      <c r="J22" s="5" t="s">
        <v>19</v>
      </c>
      <c r="K22" s="5" t="s">
        <v>19</v>
      </c>
      <c r="L22" s="4">
        <v>676520</v>
      </c>
      <c r="M22" s="4">
        <v>659316</v>
      </c>
      <c r="N22" s="4">
        <v>556185</v>
      </c>
      <c r="O22" s="4">
        <v>561084</v>
      </c>
      <c r="P22" s="4">
        <v>555037</v>
      </c>
    </row>
    <row r="23" spans="1:16" x14ac:dyDescent="0.2">
      <c r="E23" s="3" t="s">
        <v>23</v>
      </c>
      <c r="F23" s="4">
        <v>663276</v>
      </c>
      <c r="G23" s="4">
        <v>652909</v>
      </c>
      <c r="H23" s="4">
        <v>655430</v>
      </c>
      <c r="I23" s="4">
        <v>649073</v>
      </c>
      <c r="J23" s="4">
        <v>647666</v>
      </c>
      <c r="K23" s="4">
        <v>647549</v>
      </c>
      <c r="L23" s="4">
        <v>652698</v>
      </c>
      <c r="M23" s="4">
        <v>635046</v>
      </c>
      <c r="N23" s="4">
        <v>533389</v>
      </c>
      <c r="O23" s="4">
        <v>538214</v>
      </c>
      <c r="P23" s="4">
        <v>533103</v>
      </c>
    </row>
    <row r="24" spans="1:16" x14ac:dyDescent="0.2">
      <c r="E24" s="3" t="s">
        <v>24</v>
      </c>
      <c r="F24" s="4">
        <v>470762</v>
      </c>
      <c r="G24" s="4">
        <v>458725</v>
      </c>
      <c r="H24" s="4">
        <v>457976</v>
      </c>
      <c r="I24" s="4">
        <v>454822</v>
      </c>
      <c r="J24" s="4">
        <v>456268</v>
      </c>
      <c r="K24" s="4">
        <v>467888</v>
      </c>
      <c r="L24" s="4">
        <v>483515</v>
      </c>
      <c r="M24" s="4">
        <v>473241</v>
      </c>
      <c r="N24" s="4">
        <v>384470</v>
      </c>
      <c r="O24" s="4">
        <v>394281</v>
      </c>
      <c r="P24" s="4">
        <v>393083</v>
      </c>
    </row>
    <row r="25" spans="1:16" x14ac:dyDescent="0.2">
      <c r="D25" s="7" t="s">
        <v>38</v>
      </c>
      <c r="E25" s="3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2">
      <c r="D26" t="s">
        <v>16</v>
      </c>
      <c r="E26" s="3"/>
      <c r="F26" s="4">
        <f>F6+F7+F4-F9</f>
        <v>723357</v>
      </c>
      <c r="G26" s="4">
        <f t="shared" ref="G26:P26" si="0">G6+G7+G4-G9</f>
        <v>725805</v>
      </c>
      <c r="H26" s="4">
        <f t="shared" si="0"/>
        <v>753910</v>
      </c>
      <c r="I26" s="4">
        <f t="shared" si="0"/>
        <v>782442</v>
      </c>
      <c r="J26" s="4">
        <f t="shared" si="0"/>
        <v>787498</v>
      </c>
      <c r="K26" s="4">
        <f t="shared" si="0"/>
        <v>864665</v>
      </c>
      <c r="L26" s="4">
        <f t="shared" si="0"/>
        <v>951254</v>
      </c>
      <c r="M26" s="4">
        <f t="shared" si="0"/>
        <v>963375</v>
      </c>
      <c r="N26" s="4">
        <f t="shared" si="0"/>
        <v>769041</v>
      </c>
      <c r="O26" s="4">
        <f t="shared" si="0"/>
        <v>828829</v>
      </c>
      <c r="P26" s="4">
        <f t="shared" si="0"/>
        <v>802426</v>
      </c>
    </row>
    <row r="27" spans="1:16" x14ac:dyDescent="0.2">
      <c r="D27" t="s">
        <v>25</v>
      </c>
      <c r="E27" s="3"/>
      <c r="F27" s="4">
        <f>F13+F14+F11-F16</f>
        <v>1893130</v>
      </c>
      <c r="G27" s="4">
        <f t="shared" ref="G27:P27" si="1">G13+G14+G11-G16</f>
        <v>1981870</v>
      </c>
      <c r="H27" s="4">
        <f t="shared" si="1"/>
        <v>2109771</v>
      </c>
      <c r="I27" s="4">
        <f t="shared" si="1"/>
        <v>2227108</v>
      </c>
      <c r="J27" s="4">
        <f t="shared" si="1"/>
        <v>2258863</v>
      </c>
      <c r="K27" s="4">
        <f t="shared" si="1"/>
        <v>2469304</v>
      </c>
      <c r="L27" s="4">
        <f t="shared" si="1"/>
        <v>2640576</v>
      </c>
      <c r="M27" s="4">
        <f t="shared" si="1"/>
        <v>2803846</v>
      </c>
      <c r="N27" s="4">
        <f t="shared" si="1"/>
        <v>2396427</v>
      </c>
      <c r="O27" s="4">
        <f t="shared" si="1"/>
        <v>2547012</v>
      </c>
      <c r="P27" s="4">
        <f t="shared" si="1"/>
        <v>2700103</v>
      </c>
    </row>
    <row r="28" spans="1:16" x14ac:dyDescent="0.2">
      <c r="D28" s="8" t="s">
        <v>26</v>
      </c>
      <c r="E28" s="3"/>
      <c r="F28">
        <f>F18+F20+F21-F23</f>
        <v>1701108</v>
      </c>
      <c r="G28">
        <f t="shared" ref="G28:P28" si="2">G18+G20+G21-G23</f>
        <v>1761056</v>
      </c>
      <c r="H28">
        <f t="shared" si="2"/>
        <v>1821795</v>
      </c>
      <c r="I28">
        <f t="shared" si="2"/>
        <v>1899892</v>
      </c>
      <c r="J28">
        <f t="shared" si="2"/>
        <v>1898984</v>
      </c>
      <c r="K28">
        <f t="shared" si="2"/>
        <v>2041845</v>
      </c>
      <c r="L28">
        <f t="shared" si="2"/>
        <v>2165885</v>
      </c>
      <c r="M28">
        <f t="shared" si="2"/>
        <v>2273814</v>
      </c>
      <c r="N28">
        <f t="shared" si="2"/>
        <v>1938342</v>
      </c>
      <c r="O28">
        <f t="shared" si="2"/>
        <v>2077013</v>
      </c>
      <c r="P28">
        <f t="shared" si="2"/>
        <v>2202959</v>
      </c>
    </row>
    <row r="29" spans="1:16" ht="96" x14ac:dyDescent="0.2">
      <c r="A29" s="6" t="s">
        <v>27</v>
      </c>
    </row>
    <row r="30" spans="1:16" x14ac:dyDescent="0.2">
      <c r="A30" s="6"/>
      <c r="D30" s="11" t="s">
        <v>28</v>
      </c>
      <c r="E30" s="11"/>
    </row>
    <row r="31" spans="1:16" x14ac:dyDescent="0.2">
      <c r="E31" s="3"/>
      <c r="F31" s="3" t="s">
        <v>2</v>
      </c>
      <c r="G31" s="3" t="s">
        <v>3</v>
      </c>
      <c r="H31" s="3" t="s">
        <v>4</v>
      </c>
      <c r="I31" s="3" t="s">
        <v>5</v>
      </c>
      <c r="J31" s="3" t="s">
        <v>6</v>
      </c>
      <c r="K31" s="3" t="s">
        <v>7</v>
      </c>
      <c r="L31" s="3" t="s">
        <v>8</v>
      </c>
      <c r="M31" s="3" t="s">
        <v>9</v>
      </c>
      <c r="N31" s="3" t="s">
        <v>10</v>
      </c>
      <c r="O31" s="3" t="s">
        <v>11</v>
      </c>
      <c r="P31" s="3" t="s">
        <v>12</v>
      </c>
    </row>
    <row r="32" spans="1:16" x14ac:dyDescent="0.2">
      <c r="E32" s="3" t="s">
        <v>34</v>
      </c>
      <c r="F32">
        <f>F21</f>
        <v>1044350</v>
      </c>
      <c r="G32">
        <f t="shared" ref="G32:P32" si="3">G21</f>
        <v>1041430</v>
      </c>
      <c r="H32">
        <f t="shared" si="3"/>
        <v>1084072</v>
      </c>
      <c r="I32">
        <f t="shared" si="3"/>
        <v>1116337</v>
      </c>
      <c r="J32">
        <f t="shared" si="3"/>
        <v>1093623</v>
      </c>
      <c r="K32">
        <f t="shared" si="3"/>
        <v>1196994</v>
      </c>
      <c r="L32">
        <f>L21</f>
        <v>1255003</v>
      </c>
      <c r="M32">
        <f t="shared" si="3"/>
        <v>1290332</v>
      </c>
      <c r="N32">
        <f t="shared" si="3"/>
        <v>1038412</v>
      </c>
      <c r="O32">
        <f t="shared" si="3"/>
        <v>1098664</v>
      </c>
      <c r="P32">
        <f t="shared" si="3"/>
        <v>1142550</v>
      </c>
    </row>
    <row r="33" spans="4:16" x14ac:dyDescent="0.2">
      <c r="E33" s="8" t="s">
        <v>31</v>
      </c>
      <c r="F33">
        <f>F14</f>
        <v>1259223</v>
      </c>
      <c r="G33">
        <f t="shared" ref="G33:P33" si="4">G14</f>
        <v>1273776</v>
      </c>
      <c r="H33">
        <f t="shared" si="4"/>
        <v>1362285</v>
      </c>
      <c r="I33">
        <f t="shared" si="4"/>
        <v>1426156</v>
      </c>
      <c r="J33">
        <f t="shared" si="4"/>
        <v>1412565</v>
      </c>
      <c r="K33">
        <f t="shared" si="4"/>
        <v>1582297</v>
      </c>
      <c r="L33">
        <f>L14</f>
        <v>1686908</v>
      </c>
      <c r="M33">
        <f t="shared" si="4"/>
        <v>1764308</v>
      </c>
      <c r="N33">
        <f t="shared" si="4"/>
        <v>1411450</v>
      </c>
      <c r="O33">
        <f t="shared" si="4"/>
        <v>1505596</v>
      </c>
      <c r="P33">
        <f t="shared" si="4"/>
        <v>1585344</v>
      </c>
    </row>
    <row r="34" spans="4:16" x14ac:dyDescent="0.2">
      <c r="E34" s="8" t="s">
        <v>29</v>
      </c>
      <c r="F34">
        <f>F7</f>
        <v>491104</v>
      </c>
      <c r="G34">
        <f t="shared" ref="G34:P34" si="5">G7</f>
        <v>495684</v>
      </c>
      <c r="H34">
        <f t="shared" si="5"/>
        <v>526100</v>
      </c>
      <c r="I34">
        <f t="shared" si="5"/>
        <v>539524</v>
      </c>
      <c r="J34">
        <f t="shared" si="5"/>
        <v>533314</v>
      </c>
      <c r="K34">
        <f t="shared" si="5"/>
        <v>593361</v>
      </c>
      <c r="L34">
        <f>L7</f>
        <v>634534</v>
      </c>
      <c r="M34">
        <f t="shared" si="5"/>
        <v>644519</v>
      </c>
      <c r="N34">
        <f t="shared" si="5"/>
        <v>494639</v>
      </c>
      <c r="O34">
        <f t="shared" si="5"/>
        <v>519612</v>
      </c>
      <c r="P34">
        <f t="shared" si="5"/>
        <v>536620</v>
      </c>
    </row>
    <row r="35" spans="4:16" x14ac:dyDescent="0.2">
      <c r="D35" t="s">
        <v>40</v>
      </c>
      <c r="E35" s="3" t="s">
        <v>37</v>
      </c>
      <c r="F35">
        <f>F18-F24</f>
        <v>530179</v>
      </c>
      <c r="G35">
        <f t="shared" ref="G35:P35" si="6">G18-G24</f>
        <v>573915</v>
      </c>
      <c r="H35">
        <f t="shared" si="6"/>
        <v>591795</v>
      </c>
      <c r="I35">
        <f t="shared" si="6"/>
        <v>616404</v>
      </c>
      <c r="J35">
        <f t="shared" si="6"/>
        <v>639575</v>
      </c>
      <c r="K35">
        <f t="shared" si="6"/>
        <v>635204</v>
      </c>
      <c r="L35">
        <f>L18-L24</f>
        <v>649233</v>
      </c>
      <c r="M35">
        <f t="shared" si="6"/>
        <v>680005</v>
      </c>
      <c r="N35">
        <f t="shared" si="6"/>
        <v>639102</v>
      </c>
      <c r="O35">
        <f t="shared" si="6"/>
        <v>676855</v>
      </c>
      <c r="P35">
        <f t="shared" si="6"/>
        <v>738782</v>
      </c>
    </row>
    <row r="36" spans="4:16" x14ac:dyDescent="0.2">
      <c r="E36" s="8" t="s">
        <v>31</v>
      </c>
      <c r="F36">
        <f>F11-F17</f>
        <v>659841</v>
      </c>
      <c r="G36">
        <f t="shared" ref="G36:P36" si="7">G11-G17</f>
        <v>734957</v>
      </c>
      <c r="H36">
        <f t="shared" si="7"/>
        <v>779186</v>
      </c>
      <c r="I36">
        <f t="shared" si="7"/>
        <v>827998</v>
      </c>
      <c r="J36">
        <f t="shared" si="7"/>
        <v>865129</v>
      </c>
      <c r="K36">
        <f t="shared" si="7"/>
        <v>870185</v>
      </c>
      <c r="L36">
        <f>L11-L17</f>
        <v>884855</v>
      </c>
      <c r="M36">
        <f>M11-M17</f>
        <v>950067</v>
      </c>
      <c r="N36">
        <f t="shared" si="7"/>
        <v>916592</v>
      </c>
      <c r="O36">
        <f t="shared" si="7"/>
        <v>957221</v>
      </c>
      <c r="P36">
        <f t="shared" si="7"/>
        <v>1015660</v>
      </c>
    </row>
    <row r="37" spans="4:16" x14ac:dyDescent="0.2">
      <c r="E37" s="8" t="s">
        <v>29</v>
      </c>
      <c r="F37">
        <f>F4-F10</f>
        <v>354324</v>
      </c>
      <c r="G37">
        <f t="shared" ref="G37:P37" si="8">G4-G10</f>
        <v>347119</v>
      </c>
      <c r="H37">
        <f t="shared" si="8"/>
        <v>339250</v>
      </c>
      <c r="I37">
        <f t="shared" si="8"/>
        <v>345629</v>
      </c>
      <c r="J37">
        <f t="shared" si="8"/>
        <v>353239</v>
      </c>
      <c r="K37">
        <f t="shared" si="8"/>
        <v>363970</v>
      </c>
      <c r="L37">
        <f>L4-L10</f>
        <v>381664</v>
      </c>
      <c r="M37">
        <f t="shared" si="8"/>
        <v>381590</v>
      </c>
      <c r="N37">
        <f t="shared" si="8"/>
        <v>317409</v>
      </c>
      <c r="O37">
        <f t="shared" si="8"/>
        <v>331382</v>
      </c>
      <c r="P37">
        <f t="shared" si="8"/>
        <v>270945</v>
      </c>
    </row>
    <row r="38" spans="4:16" x14ac:dyDescent="0.2">
      <c r="D38" t="s">
        <v>42</v>
      </c>
      <c r="E38" s="3" t="s">
        <v>41</v>
      </c>
      <c r="F38">
        <f>F20-F23+F24</f>
        <v>126579</v>
      </c>
      <c r="G38">
        <f t="shared" ref="G38:P38" si="9">G20-G23+G24</f>
        <v>145711</v>
      </c>
      <c r="H38">
        <f t="shared" si="9"/>
        <v>145928</v>
      </c>
      <c r="I38">
        <f t="shared" si="9"/>
        <v>167151</v>
      </c>
      <c r="J38">
        <f t="shared" si="9"/>
        <v>165786</v>
      </c>
      <c r="K38">
        <f t="shared" si="9"/>
        <v>209647</v>
      </c>
      <c r="L38">
        <f>L20-L23+L24</f>
        <v>261649</v>
      </c>
      <c r="M38">
        <f t="shared" si="9"/>
        <v>303477</v>
      </c>
      <c r="N38">
        <f t="shared" si="9"/>
        <v>260828</v>
      </c>
      <c r="O38">
        <f t="shared" si="9"/>
        <v>301494</v>
      </c>
      <c r="P38">
        <f t="shared" si="9"/>
        <v>321627</v>
      </c>
    </row>
    <row r="39" spans="4:16" x14ac:dyDescent="0.2">
      <c r="E39" s="8" t="s">
        <v>31</v>
      </c>
      <c r="F39">
        <f>F13-F16+F17</f>
        <v>-25934</v>
      </c>
      <c r="G39">
        <f t="shared" ref="G39:P39" si="10">G13-G16+G17</f>
        <v>-26863</v>
      </c>
      <c r="H39">
        <f t="shared" si="10"/>
        <v>-31700</v>
      </c>
      <c r="I39">
        <f t="shared" si="10"/>
        <v>-27046</v>
      </c>
      <c r="J39">
        <f t="shared" si="10"/>
        <v>-18831</v>
      </c>
      <c r="K39">
        <f t="shared" si="10"/>
        <v>16822</v>
      </c>
      <c r="L39">
        <f>L13-L16+L17</f>
        <v>68813</v>
      </c>
      <c r="M39">
        <f t="shared" si="10"/>
        <v>89471</v>
      </c>
      <c r="N39">
        <f t="shared" si="10"/>
        <v>68385</v>
      </c>
      <c r="O39">
        <f t="shared" si="10"/>
        <v>84195</v>
      </c>
      <c r="P39">
        <f t="shared" si="10"/>
        <v>99099</v>
      </c>
    </row>
    <row r="40" spans="4:16" x14ac:dyDescent="0.2">
      <c r="E40" s="8" t="s">
        <v>29</v>
      </c>
      <c r="F40">
        <f>F6-F9+F10</f>
        <v>-122071</v>
      </c>
      <c r="G40">
        <f t="shared" ref="G40:P40" si="11">G6-G9+G10</f>
        <v>-116998</v>
      </c>
      <c r="H40">
        <f t="shared" si="11"/>
        <v>-111440</v>
      </c>
      <c r="I40">
        <f t="shared" si="11"/>
        <v>-102711</v>
      </c>
      <c r="J40">
        <f t="shared" si="11"/>
        <v>-99055</v>
      </c>
      <c r="K40">
        <f t="shared" si="11"/>
        <v>-92666</v>
      </c>
      <c r="L40">
        <f>L6-L9+L10</f>
        <v>-64944</v>
      </c>
      <c r="M40">
        <f t="shared" si="11"/>
        <v>-62734</v>
      </c>
      <c r="N40">
        <f t="shared" si="11"/>
        <v>-43007</v>
      </c>
      <c r="O40">
        <f t="shared" si="11"/>
        <v>-22165</v>
      </c>
      <c r="P40">
        <f t="shared" si="11"/>
        <v>-5139</v>
      </c>
    </row>
    <row r="41" spans="4:16" x14ac:dyDescent="0.2">
      <c r="D41" t="s">
        <v>43</v>
      </c>
      <c r="E41" s="3" t="s">
        <v>39</v>
      </c>
      <c r="F41">
        <f>F32+F35+F38</f>
        <v>1701108</v>
      </c>
      <c r="G41">
        <f t="shared" ref="G41:P41" si="12">G32+G35+G38</f>
        <v>1761056</v>
      </c>
      <c r="H41">
        <f t="shared" si="12"/>
        <v>1821795</v>
      </c>
      <c r="I41">
        <f t="shared" si="12"/>
        <v>1899892</v>
      </c>
      <c r="J41">
        <f t="shared" si="12"/>
        <v>1898984</v>
      </c>
      <c r="K41">
        <f t="shared" si="12"/>
        <v>2041845</v>
      </c>
      <c r="L41">
        <f>L32+L35+L38</f>
        <v>2165885</v>
      </c>
      <c r="M41">
        <f t="shared" si="12"/>
        <v>2273814</v>
      </c>
      <c r="N41">
        <f t="shared" si="12"/>
        <v>1938342</v>
      </c>
      <c r="O41">
        <f t="shared" si="12"/>
        <v>2077013</v>
      </c>
      <c r="P41">
        <f t="shared" si="12"/>
        <v>2202959</v>
      </c>
    </row>
    <row r="42" spans="4:16" x14ac:dyDescent="0.2">
      <c r="E42" s="8" t="s">
        <v>31</v>
      </c>
      <c r="F42">
        <f t="shared" ref="F42:P42" si="13">F33+F36+F39</f>
        <v>1893130</v>
      </c>
      <c r="G42">
        <f t="shared" si="13"/>
        <v>1981870</v>
      </c>
      <c r="H42">
        <f t="shared" si="13"/>
        <v>2109771</v>
      </c>
      <c r="I42">
        <f t="shared" si="13"/>
        <v>2227108</v>
      </c>
      <c r="J42">
        <f t="shared" si="13"/>
        <v>2258863</v>
      </c>
      <c r="K42">
        <f t="shared" si="13"/>
        <v>2469304</v>
      </c>
      <c r="L42">
        <f>L33+L36+L39</f>
        <v>2640576</v>
      </c>
      <c r="M42">
        <f t="shared" si="13"/>
        <v>2803846</v>
      </c>
      <c r="N42">
        <f t="shared" si="13"/>
        <v>2396427</v>
      </c>
      <c r="O42">
        <f t="shared" si="13"/>
        <v>2547012</v>
      </c>
      <c r="P42">
        <f t="shared" si="13"/>
        <v>2700103</v>
      </c>
    </row>
    <row r="43" spans="4:16" x14ac:dyDescent="0.2">
      <c r="E43" s="8" t="s">
        <v>29</v>
      </c>
      <c r="F43">
        <f t="shared" ref="F43:P43" si="14">F34+F37+F40</f>
        <v>723357</v>
      </c>
      <c r="G43">
        <f t="shared" si="14"/>
        <v>725805</v>
      </c>
      <c r="H43">
        <f t="shared" si="14"/>
        <v>753910</v>
      </c>
      <c r="I43">
        <f t="shared" si="14"/>
        <v>782442</v>
      </c>
      <c r="J43">
        <f t="shared" si="14"/>
        <v>787498</v>
      </c>
      <c r="K43">
        <f t="shared" si="14"/>
        <v>864665</v>
      </c>
      <c r="L43">
        <f t="shared" si="14"/>
        <v>951254</v>
      </c>
      <c r="M43">
        <f t="shared" si="14"/>
        <v>963375</v>
      </c>
      <c r="N43">
        <f t="shared" si="14"/>
        <v>769041</v>
      </c>
      <c r="O43">
        <f t="shared" si="14"/>
        <v>828829</v>
      </c>
      <c r="P43">
        <f t="shared" si="14"/>
        <v>802426</v>
      </c>
    </row>
    <row r="45" spans="4:16" x14ac:dyDescent="0.2">
      <c r="E45" s="3" t="s">
        <v>28</v>
      </c>
      <c r="H45" t="s">
        <v>33</v>
      </c>
    </row>
    <row r="46" spans="4:16" x14ac:dyDescent="0.2">
      <c r="F46" t="s">
        <v>32</v>
      </c>
      <c r="G46" t="s">
        <v>34</v>
      </c>
      <c r="H46" t="s">
        <v>35</v>
      </c>
      <c r="I46" t="s">
        <v>36</v>
      </c>
    </row>
    <row r="47" spans="4:16" x14ac:dyDescent="0.2">
      <c r="E47" s="7" t="s">
        <v>30</v>
      </c>
      <c r="F47" s="9">
        <f>100*(P41/F41-1)</f>
        <v>29.501419075096933</v>
      </c>
      <c r="G47" s="9">
        <f>100*((P32-F32)/F41)</f>
        <v>5.7727081408117531</v>
      </c>
      <c r="H47" s="9">
        <f>100*((P35-F35)/F41)</f>
        <v>12.262772263724585</v>
      </c>
      <c r="I47" s="9">
        <f>100*((P38-F38)/F41)</f>
        <v>11.465938670560599</v>
      </c>
      <c r="J47" s="7"/>
      <c r="K47">
        <f>SUM(G47:I47)</f>
        <v>29.501419075096933</v>
      </c>
    </row>
    <row r="48" spans="4:16" x14ac:dyDescent="0.2">
      <c r="E48" t="s">
        <v>31</v>
      </c>
      <c r="F48" s="10">
        <f t="shared" ref="F48:F49" si="15">100*(P42/F42-1)</f>
        <v>42.62639121454945</v>
      </c>
      <c r="G48" s="10">
        <f t="shared" ref="G48:G49" si="16">100*((P33-F33)/F42)</f>
        <v>17.226550738723702</v>
      </c>
      <c r="H48" s="10">
        <f t="shared" ref="H48:H49" si="17">100*((P36-F36)/F42)</f>
        <v>18.795275548958603</v>
      </c>
      <c r="I48" s="10">
        <f t="shared" ref="I48:I49" si="18">100*((P39-F39)/F42)</f>
        <v>6.6045649268671456</v>
      </c>
      <c r="K48">
        <f t="shared" ref="K48:K49" si="19">SUM(G48:I48)</f>
        <v>42.62639121454945</v>
      </c>
    </row>
    <row r="49" spans="4:16" x14ac:dyDescent="0.2">
      <c r="E49" t="s">
        <v>29</v>
      </c>
      <c r="F49" s="10">
        <f t="shared" si="15"/>
        <v>10.930840511669903</v>
      </c>
      <c r="G49" s="10">
        <f t="shared" si="16"/>
        <v>6.2923286841766926</v>
      </c>
      <c r="H49" s="10">
        <f t="shared" si="17"/>
        <v>-11.526673551234037</v>
      </c>
      <c r="I49" s="10">
        <f t="shared" si="18"/>
        <v>16.165185378727241</v>
      </c>
      <c r="K49">
        <f t="shared" si="19"/>
        <v>10.930840511669896</v>
      </c>
    </row>
    <row r="53" spans="4:16" x14ac:dyDescent="0.2">
      <c r="D53" s="11" t="s">
        <v>44</v>
      </c>
      <c r="E53" s="11"/>
    </row>
    <row r="54" spans="4:16" x14ac:dyDescent="0.2">
      <c r="E54" s="3"/>
      <c r="F54" s="3"/>
      <c r="G54" s="3"/>
      <c r="H54" s="3"/>
      <c r="I54" s="3"/>
      <c r="J54" s="3"/>
      <c r="K54" s="3"/>
      <c r="L54" s="3" t="s">
        <v>8</v>
      </c>
      <c r="M54" s="3" t="s">
        <v>9</v>
      </c>
      <c r="N54" s="3" t="s">
        <v>10</v>
      </c>
      <c r="O54" s="3" t="s">
        <v>11</v>
      </c>
      <c r="P54" s="3" t="s">
        <v>12</v>
      </c>
    </row>
    <row r="55" spans="4:16" x14ac:dyDescent="0.2">
      <c r="E55" s="3" t="s">
        <v>34</v>
      </c>
      <c r="L55">
        <f>L21</f>
        <v>1255003</v>
      </c>
      <c r="M55">
        <f t="shared" ref="M55:P55" si="20">M21</f>
        <v>1290332</v>
      </c>
      <c r="N55">
        <f t="shared" si="20"/>
        <v>1038412</v>
      </c>
      <c r="O55">
        <f t="shared" si="20"/>
        <v>1098664</v>
      </c>
      <c r="P55">
        <f t="shared" si="20"/>
        <v>1142550</v>
      </c>
    </row>
    <row r="56" spans="4:16" x14ac:dyDescent="0.2">
      <c r="E56" s="8" t="s">
        <v>31</v>
      </c>
      <c r="L56">
        <f>L14</f>
        <v>1686908</v>
      </c>
      <c r="M56">
        <f t="shared" ref="M56:P56" si="21">M14</f>
        <v>1764308</v>
      </c>
      <c r="N56">
        <f t="shared" si="21"/>
        <v>1411450</v>
      </c>
      <c r="O56">
        <f t="shared" si="21"/>
        <v>1505596</v>
      </c>
      <c r="P56">
        <f t="shared" si="21"/>
        <v>1585344</v>
      </c>
    </row>
    <row r="57" spans="4:16" x14ac:dyDescent="0.2">
      <c r="E57" s="8" t="s">
        <v>29</v>
      </c>
      <c r="L57">
        <f>L7</f>
        <v>634534</v>
      </c>
      <c r="M57">
        <f t="shared" ref="M57:P57" si="22">M7</f>
        <v>644519</v>
      </c>
      <c r="N57">
        <f t="shared" si="22"/>
        <v>494639</v>
      </c>
      <c r="O57">
        <f t="shared" si="22"/>
        <v>519612</v>
      </c>
      <c r="P57">
        <f t="shared" si="22"/>
        <v>536620</v>
      </c>
    </row>
    <row r="58" spans="4:16" x14ac:dyDescent="0.2">
      <c r="D58" t="s">
        <v>40</v>
      </c>
      <c r="E58" s="3" t="s">
        <v>37</v>
      </c>
      <c r="L58">
        <f>L18-L24</f>
        <v>649233</v>
      </c>
      <c r="M58">
        <f t="shared" ref="M58:P58" si="23">M18-M24</f>
        <v>680005</v>
      </c>
      <c r="N58">
        <f t="shared" si="23"/>
        <v>639102</v>
      </c>
      <c r="O58">
        <f t="shared" si="23"/>
        <v>676855</v>
      </c>
      <c r="P58">
        <f t="shared" si="23"/>
        <v>738782</v>
      </c>
    </row>
    <row r="59" spans="4:16" x14ac:dyDescent="0.2">
      <c r="E59" s="8" t="s">
        <v>31</v>
      </c>
      <c r="L59">
        <f>L11-L17</f>
        <v>884855</v>
      </c>
      <c r="M59">
        <f t="shared" ref="M59:P59" si="24">M11-M17</f>
        <v>950067</v>
      </c>
      <c r="N59">
        <f t="shared" si="24"/>
        <v>916592</v>
      </c>
      <c r="O59">
        <f t="shared" si="24"/>
        <v>957221</v>
      </c>
      <c r="P59">
        <f t="shared" si="24"/>
        <v>1015660</v>
      </c>
    </row>
    <row r="60" spans="4:16" x14ac:dyDescent="0.2">
      <c r="E60" s="8" t="s">
        <v>29</v>
      </c>
      <c r="L60">
        <f>L4-L10</f>
        <v>381664</v>
      </c>
      <c r="M60">
        <f t="shared" ref="M60:P60" si="25">M4-M10</f>
        <v>381590</v>
      </c>
      <c r="N60">
        <f t="shared" si="25"/>
        <v>317409</v>
      </c>
      <c r="O60">
        <f t="shared" si="25"/>
        <v>331382</v>
      </c>
      <c r="P60">
        <f t="shared" si="25"/>
        <v>270945</v>
      </c>
    </row>
    <row r="61" spans="4:16" x14ac:dyDescent="0.2">
      <c r="D61" t="s">
        <v>45</v>
      </c>
      <c r="E61" s="3" t="s">
        <v>41</v>
      </c>
      <c r="L61">
        <f>L19-L22+L24</f>
        <v>517136</v>
      </c>
      <c r="M61">
        <f t="shared" ref="M61:P61" si="26">M20-M23+M24</f>
        <v>303477</v>
      </c>
      <c r="N61">
        <f t="shared" si="26"/>
        <v>260828</v>
      </c>
      <c r="O61">
        <f t="shared" si="26"/>
        <v>301494</v>
      </c>
      <c r="P61">
        <f t="shared" si="26"/>
        <v>321627</v>
      </c>
    </row>
    <row r="62" spans="4:16" x14ac:dyDescent="0.2">
      <c r="E62" s="8" t="s">
        <v>31</v>
      </c>
      <c r="L62">
        <f>L12-L15+L17</f>
        <v>61602</v>
      </c>
      <c r="M62">
        <f t="shared" ref="M62:P62" si="27">M13-M16+M17</f>
        <v>89471</v>
      </c>
      <c r="N62">
        <f t="shared" si="27"/>
        <v>68385</v>
      </c>
      <c r="O62">
        <f t="shared" si="27"/>
        <v>84195</v>
      </c>
      <c r="P62">
        <f t="shared" si="27"/>
        <v>99099</v>
      </c>
    </row>
    <row r="63" spans="4:16" x14ac:dyDescent="0.2">
      <c r="E63" s="8" t="s">
        <v>29</v>
      </c>
      <c r="L63">
        <f>L5-L8+L10</f>
        <v>-100763</v>
      </c>
      <c r="M63">
        <f t="shared" ref="M63:P63" si="28">M6-M9+M10</f>
        <v>-62734</v>
      </c>
      <c r="N63">
        <f t="shared" si="28"/>
        <v>-43007</v>
      </c>
      <c r="O63">
        <f t="shared" si="28"/>
        <v>-22165</v>
      </c>
      <c r="P63">
        <f t="shared" si="28"/>
        <v>-5139</v>
      </c>
    </row>
    <row r="64" spans="4:16" x14ac:dyDescent="0.2">
      <c r="D64" t="s">
        <v>43</v>
      </c>
      <c r="E64" s="3" t="s">
        <v>39</v>
      </c>
      <c r="L64">
        <f>L32+L35+L38</f>
        <v>2165885</v>
      </c>
      <c r="M64">
        <f t="shared" ref="M64:P64" si="29">M32+M35+M38</f>
        <v>2273814</v>
      </c>
      <c r="N64">
        <f t="shared" si="29"/>
        <v>1938342</v>
      </c>
      <c r="O64">
        <f t="shared" si="29"/>
        <v>2077013</v>
      </c>
      <c r="P64">
        <f t="shared" si="29"/>
        <v>2202959</v>
      </c>
    </row>
    <row r="65" spans="5:16" x14ac:dyDescent="0.2">
      <c r="E65" s="8" t="s">
        <v>31</v>
      </c>
      <c r="L65">
        <f>L33+L36+L39</f>
        <v>2640576</v>
      </c>
      <c r="M65">
        <f t="shared" ref="M65:P65" si="30">M33+M36+M39</f>
        <v>2803846</v>
      </c>
      <c r="N65">
        <f t="shared" si="30"/>
        <v>2396427</v>
      </c>
      <c r="O65">
        <f t="shared" si="30"/>
        <v>2547012</v>
      </c>
      <c r="P65">
        <f t="shared" si="30"/>
        <v>2700103</v>
      </c>
    </row>
    <row r="66" spans="5:16" x14ac:dyDescent="0.2">
      <c r="E66" s="8" t="s">
        <v>29</v>
      </c>
      <c r="L66">
        <f>L57+L60+L63</f>
        <v>915435</v>
      </c>
      <c r="M66">
        <f t="shared" ref="M66:P66" si="31">M57+M60+M63</f>
        <v>963375</v>
      </c>
      <c r="N66">
        <f t="shared" si="31"/>
        <v>769041</v>
      </c>
      <c r="O66">
        <f t="shared" si="31"/>
        <v>828829</v>
      </c>
      <c r="P66">
        <f t="shared" si="31"/>
        <v>802426</v>
      </c>
    </row>
    <row r="68" spans="5:16" x14ac:dyDescent="0.2">
      <c r="E68" s="3" t="s">
        <v>44</v>
      </c>
      <c r="H68" t="s">
        <v>33</v>
      </c>
    </row>
    <row r="69" spans="5:16" x14ac:dyDescent="0.2">
      <c r="F69" t="s">
        <v>32</v>
      </c>
      <c r="G69" t="s">
        <v>34</v>
      </c>
      <c r="H69" t="s">
        <v>35</v>
      </c>
      <c r="I69" t="s">
        <v>36</v>
      </c>
    </row>
    <row r="70" spans="5:16" x14ac:dyDescent="0.2">
      <c r="E70" s="7" t="s">
        <v>30</v>
      </c>
      <c r="F70" s="9">
        <f>100*(P64/L64-1)</f>
        <v>1.7117252301022345</v>
      </c>
      <c r="G70" s="9">
        <f>100*((P55-L55)/L64)</f>
        <v>-5.1920115795621644</v>
      </c>
      <c r="H70" s="9">
        <f>100*((P58-L58)/L64)</f>
        <v>4.1345223776885662</v>
      </c>
      <c r="I70" s="9">
        <f>100*((P61-L61)/L64)</f>
        <v>-9.0267488809424332</v>
      </c>
      <c r="J70" s="7"/>
      <c r="K70">
        <f>SUM(G70:I70)</f>
        <v>-10.084238082816032</v>
      </c>
    </row>
    <row r="71" spans="5:16" x14ac:dyDescent="0.2">
      <c r="E71" t="s">
        <v>31</v>
      </c>
      <c r="F71" s="10">
        <f>100*(P65/L65-1)</f>
        <v>2.2543187546959498</v>
      </c>
      <c r="G71" s="9">
        <f t="shared" ref="G71:G72" si="32">100*((P56-L56)/L65)</f>
        <v>-3.846282023316125</v>
      </c>
      <c r="H71" s="9">
        <f t="shared" ref="H71:H72" si="33">100*((P59-L59)/L65)</f>
        <v>4.9536540512373062</v>
      </c>
      <c r="I71" s="9">
        <f t="shared" ref="I71:I72" si="34">100*((P62-L62)/L65)</f>
        <v>1.4200310841270996</v>
      </c>
      <c r="K71">
        <f t="shared" ref="K71:K72" si="35">SUM(G71:I71)</f>
        <v>2.5274031120482805</v>
      </c>
    </row>
    <row r="72" spans="5:16" x14ac:dyDescent="0.2">
      <c r="E72" t="s">
        <v>29</v>
      </c>
      <c r="F72" s="10">
        <f>100*(P66/L66-1)</f>
        <v>-12.344841523428752</v>
      </c>
      <c r="G72" s="9">
        <f t="shared" si="32"/>
        <v>-10.695898671123565</v>
      </c>
      <c r="H72" s="9">
        <f t="shared" si="33"/>
        <v>-12.09468722519895</v>
      </c>
      <c r="I72" s="9">
        <f t="shared" si="34"/>
        <v>10.445744372893762</v>
      </c>
      <c r="K72">
        <f t="shared" si="35"/>
        <v>-12.344841523428753</v>
      </c>
    </row>
  </sheetData>
  <mergeCells count="2">
    <mergeCell ref="D30:E30"/>
    <mergeCell ref="D53:E53"/>
  </mergeCell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FORMUE11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Nelgy Skov Wohlert</cp:lastModifiedBy>
  <dcterms:created xsi:type="dcterms:W3CDTF">2026-04-08T14:57:31Z</dcterms:created>
  <dcterms:modified xsi:type="dcterms:W3CDTF">2026-04-21T10:45:28Z</dcterms:modified>
</cp:coreProperties>
</file>